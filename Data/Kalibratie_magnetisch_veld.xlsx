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tristancools/Documents/Arduino/Project-experimenteren2/Data/"/>
    </mc:Choice>
  </mc:AlternateContent>
  <xr:revisionPtr revIDLastSave="0" documentId="8_{AA68CDCD-951D-C84E-BFA6-27C1B1B32CD8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Kalibratie" sheetId="1" r:id="rId1"/>
    <sheet name="Metingen" sheetId="3" r:id="rId2"/>
    <sheet name="Verwerking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" i="2"/>
  <c r="D4" i="2"/>
  <c r="E4" i="2" s="1"/>
  <c r="D6" i="2"/>
  <c r="E6" i="2" s="1"/>
  <c r="D10" i="2"/>
  <c r="H10" i="2" s="1"/>
  <c r="O10" i="2" s="1"/>
  <c r="D12" i="2"/>
  <c r="H12" i="2" s="1"/>
  <c r="O12" i="2" s="1"/>
  <c r="D14" i="2"/>
  <c r="E14" i="2" s="1"/>
  <c r="D18" i="2"/>
  <c r="H18" i="2" s="1"/>
  <c r="O18" i="2" s="1"/>
  <c r="D20" i="2"/>
  <c r="E20" i="2" s="1"/>
  <c r="D22" i="2"/>
  <c r="E22" i="2" s="1"/>
  <c r="C3" i="2"/>
  <c r="D3" i="2" s="1"/>
  <c r="C4" i="2"/>
  <c r="C5" i="2"/>
  <c r="D5" i="2" s="1"/>
  <c r="C6" i="2"/>
  <c r="C7" i="2"/>
  <c r="D7" i="2" s="1"/>
  <c r="C8" i="2"/>
  <c r="D8" i="2" s="1"/>
  <c r="C9" i="2"/>
  <c r="D9" i="2" s="1"/>
  <c r="C10" i="2"/>
  <c r="C11" i="2"/>
  <c r="D11" i="2" s="1"/>
  <c r="C12" i="2"/>
  <c r="C13" i="2"/>
  <c r="D13" i="2" s="1"/>
  <c r="C14" i="2"/>
  <c r="C15" i="2"/>
  <c r="D15" i="2" s="1"/>
  <c r="C16" i="2"/>
  <c r="D16" i="2" s="1"/>
  <c r="C17" i="2"/>
  <c r="D17" i="2" s="1"/>
  <c r="C18" i="2"/>
  <c r="C19" i="2"/>
  <c r="D19" i="2" s="1"/>
  <c r="C20" i="2"/>
  <c r="C21" i="2"/>
  <c r="D21" i="2" s="1"/>
  <c r="C22" i="2"/>
  <c r="C23" i="2"/>
  <c r="D23" i="2" s="1"/>
  <c r="C24" i="2"/>
  <c r="D24" i="2" s="1"/>
  <c r="C25" i="2"/>
  <c r="D25" i="2" s="1"/>
  <c r="C26" i="2"/>
  <c r="D26" i="2" s="1"/>
  <c r="C2" i="2"/>
  <c r="D2" i="2" s="1"/>
  <c r="E5" i="2" l="1"/>
  <c r="H5" i="2"/>
  <c r="O5" i="2" s="1"/>
  <c r="E21" i="2"/>
  <c r="H21" i="2"/>
  <c r="O21" i="2" s="1"/>
  <c r="E13" i="2"/>
  <c r="H13" i="2"/>
  <c r="O13" i="2" s="1"/>
  <c r="H2" i="2"/>
  <c r="O2" i="2" s="1"/>
  <c r="E2" i="2"/>
  <c r="H19" i="2"/>
  <c r="O19" i="2" s="1"/>
  <c r="E19" i="2"/>
  <c r="H11" i="2"/>
  <c r="O11" i="2" s="1"/>
  <c r="E11" i="2"/>
  <c r="H3" i="2"/>
  <c r="O3" i="2" s="1"/>
  <c r="E3" i="2"/>
  <c r="H26" i="2"/>
  <c r="O26" i="2" s="1"/>
  <c r="E26" i="2"/>
  <c r="H25" i="2"/>
  <c r="O25" i="2" s="1"/>
  <c r="E25" i="2"/>
  <c r="H17" i="2"/>
  <c r="O17" i="2" s="1"/>
  <c r="E17" i="2"/>
  <c r="H9" i="2"/>
  <c r="O9" i="2" s="1"/>
  <c r="E9" i="2"/>
  <c r="E24" i="2"/>
  <c r="H24" i="2"/>
  <c r="O24" i="2" s="1"/>
  <c r="H16" i="2"/>
  <c r="O16" i="2" s="1"/>
  <c r="E16" i="2"/>
  <c r="H8" i="2"/>
  <c r="O8" i="2" s="1"/>
  <c r="E8" i="2"/>
  <c r="E23" i="2"/>
  <c r="H23" i="2"/>
  <c r="O23" i="2" s="1"/>
  <c r="H15" i="2"/>
  <c r="O15" i="2" s="1"/>
  <c r="E15" i="2"/>
  <c r="E7" i="2"/>
  <c r="H7" i="2"/>
  <c r="O7" i="2" s="1"/>
  <c r="H22" i="2"/>
  <c r="O22" i="2" s="1"/>
  <c r="H14" i="2"/>
  <c r="O14" i="2" s="1"/>
  <c r="H6" i="2"/>
  <c r="O6" i="2" s="1"/>
  <c r="E12" i="2"/>
  <c r="E18" i="2"/>
  <c r="E10" i="2"/>
  <c r="H20" i="2"/>
  <c r="O20" i="2" s="1"/>
  <c r="H4" i="2"/>
  <c r="O4" i="2" s="1"/>
</calcChain>
</file>

<file path=xl/sharedStrings.xml><?xml version="1.0" encoding="utf-8"?>
<sst xmlns="http://schemas.openxmlformats.org/spreadsheetml/2006/main" count="35" uniqueCount="35">
  <si>
    <t>d(cm)</t>
  </si>
  <si>
    <t>Bx (µT)</t>
  </si>
  <si>
    <t>By (µT)</t>
  </si>
  <si>
    <t>Bz (µT)</t>
  </si>
  <si>
    <t>I (mA)</t>
  </si>
  <si>
    <t>U(V)</t>
  </si>
  <si>
    <t>Unnamed: 6</t>
  </si>
  <si>
    <t>B (magnitude) (µT)</t>
  </si>
  <si>
    <t>Metingnr</t>
  </si>
  <si>
    <t>Frequentie (Hz)</t>
  </si>
  <si>
    <t>Stroom (mA)</t>
  </si>
  <si>
    <t>V_AVG (V)</t>
  </si>
  <si>
    <t>V_MAX (V)</t>
  </si>
  <si>
    <t>V_MIN (V)</t>
  </si>
  <si>
    <t>V_AMPLIT (V)</t>
  </si>
  <si>
    <t>Meting:</t>
  </si>
  <si>
    <t>Set 1</t>
  </si>
  <si>
    <t>Set  2</t>
  </si>
  <si>
    <t>Set 3</t>
  </si>
  <si>
    <t>Set 4</t>
  </si>
  <si>
    <t>Set 5</t>
  </si>
  <si>
    <t>(Delta V_AC)_rms</t>
  </si>
  <si>
    <t>V_CD = V_MAX (V)</t>
  </si>
  <si>
    <t>Delta V_AC (V)</t>
  </si>
  <si>
    <r>
      <t xml:space="preserve">V_piek = (Delta V_AC)_rms </t>
    </r>
    <r>
      <rPr>
        <sz val="5"/>
        <color theme="1"/>
        <rFont val="Calibri (Body)"/>
      </rPr>
      <t>want lockin meet rms</t>
    </r>
    <r>
      <rPr>
        <sz val="11"/>
        <color theme="1"/>
        <rFont val="Calibri"/>
        <family val="2"/>
        <scheme val="minor"/>
      </rPr>
      <t xml:space="preserve"> (V)</t>
    </r>
  </si>
  <si>
    <r>
      <t>Draaihoek (radialen)</t>
    </r>
    <r>
      <rPr>
        <sz val="8"/>
        <color theme="1"/>
        <rFont val="Calibri (Body)"/>
      </rPr>
      <t xml:space="preserve"> (=Delta(V_AC)/(2V_DC)) </t>
    </r>
  </si>
  <si>
    <t>lengte kwarts (mm)</t>
  </si>
  <si>
    <t>AF(lengte) (mm)</t>
  </si>
  <si>
    <r>
      <t xml:space="preserve">R </t>
    </r>
    <r>
      <rPr>
        <sz val="8"/>
        <color theme="1"/>
        <rFont val="Calibri (Body)"/>
      </rPr>
      <t>(=V_max/I) (Ohm) (stroom van magnetisch veld, niet laser...)</t>
    </r>
  </si>
  <si>
    <t>B_veld door staaf (T*mm)</t>
  </si>
  <si>
    <t>B_veld (mT) zie interpolatie python</t>
  </si>
  <si>
    <t>B_veld door staaf (T*m)</t>
  </si>
  <si>
    <t>Verdet-cste V (rad/Tm)</t>
  </si>
  <si>
    <t>Verdet (graden/(T*m))</t>
  </si>
  <si>
    <r>
      <t>Draaihoek (graden)</t>
    </r>
    <r>
      <rPr>
        <sz val="8"/>
        <color theme="1"/>
        <rFont val="Calibri (Body)"/>
      </rPr>
      <t xml:space="preserve"> (=Delta(V_AC)/(2V_DC))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</si>
</sst>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 val="double"/>
      <sz val="11"/>
      <color theme="1"/>
      <name val="Calibri"/>
      <family val="2"/>
      <scheme val="minor"/>
    </font>
    <font>
      <sz val="8"/>
      <color theme="1"/>
      <name val="Calibri (Body)"/>
    </font>
    <font>
      <sz val="5"/>
      <color theme="1"/>
      <name val="Calibri (Body)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/>
      <right/>
      <top/>
      <bottom/>
      <diagonal style="thin">
        <color auto="1"/>
      </diagonal>
    </border>
    <border diagonalDown="1">
      <left/>
      <right/>
      <top/>
      <bottom style="thin">
        <color auto="1"/>
      </bottom>
      <diagonal style="thin">
        <color auto="1"/>
      </diagonal>
    </border>
    <border diagonalDown="1">
      <left/>
      <right/>
      <top style="thin">
        <color auto="1"/>
      </top>
      <bottom style="thin">
        <color auto="1"/>
      </bottom>
      <diagonal style="thin">
        <color auto="1"/>
      </diagonal>
    </border>
    <border diagonalDown="1">
      <left/>
      <right/>
      <top style="thin">
        <color auto="1"/>
      </top>
      <bottom/>
      <diagonal style="thin">
        <color auto="1"/>
      </diagonal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2" xfId="0" applyBorder="1"/>
    <xf numFmtId="0" fontId="2" fillId="0" borderId="2" xfId="0" applyFont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workbookViewId="0">
      <selection activeCell="J5" sqref="J5"/>
    </sheetView>
  </sheetViews>
  <sheetFormatPr baseColWidth="10" defaultColWidth="8.83203125" defaultRowHeight="15" x14ac:dyDescent="0.2"/>
  <cols>
    <col min="1" max="1" width="5.5" bestFit="1" customWidth="1"/>
    <col min="2" max="4" width="6.5" bestFit="1" customWidth="1"/>
    <col min="5" max="5" width="5.6640625" bestFit="1" customWidth="1"/>
    <col min="6" max="6" width="4.5" bestFit="1" customWidth="1"/>
    <col min="7" max="7" width="10.5" bestFit="1" customWidth="1"/>
    <col min="8" max="8" width="15.5" bestFit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-30</v>
      </c>
      <c r="C2">
        <v>80</v>
      </c>
      <c r="D2">
        <v>58</v>
      </c>
      <c r="E2">
        <v>63.9</v>
      </c>
      <c r="F2">
        <v>8</v>
      </c>
      <c r="H2">
        <v>103.2666451474047</v>
      </c>
    </row>
    <row r="3" spans="1:8" x14ac:dyDescent="0.2">
      <c r="A3">
        <v>0.5</v>
      </c>
      <c r="B3">
        <v>-35</v>
      </c>
      <c r="C3">
        <v>88</v>
      </c>
      <c r="D3">
        <v>55</v>
      </c>
      <c r="E3">
        <v>63.9</v>
      </c>
      <c r="F3">
        <v>8</v>
      </c>
      <c r="H3">
        <v>109.5171219490359</v>
      </c>
    </row>
    <row r="4" spans="1:8" x14ac:dyDescent="0.2">
      <c r="A4">
        <v>1</v>
      </c>
      <c r="B4">
        <v>-33</v>
      </c>
      <c r="C4">
        <v>98</v>
      </c>
      <c r="D4">
        <v>58</v>
      </c>
      <c r="E4">
        <v>63.9</v>
      </c>
      <c r="F4">
        <v>8</v>
      </c>
      <c r="H4">
        <v>118.5622199522259</v>
      </c>
    </row>
    <row r="5" spans="1:8" x14ac:dyDescent="0.2">
      <c r="A5">
        <v>1.5</v>
      </c>
      <c r="B5">
        <v>-33</v>
      </c>
      <c r="C5">
        <v>109</v>
      </c>
      <c r="D5">
        <v>59</v>
      </c>
      <c r="E5">
        <v>63.9</v>
      </c>
      <c r="F5">
        <v>8</v>
      </c>
      <c r="H5">
        <v>128.26145173044</v>
      </c>
    </row>
    <row r="6" spans="1:8" x14ac:dyDescent="0.2">
      <c r="A6">
        <v>2</v>
      </c>
      <c r="B6">
        <v>-31</v>
      </c>
      <c r="C6">
        <v>123</v>
      </c>
      <c r="D6">
        <v>58</v>
      </c>
      <c r="E6">
        <v>63.9</v>
      </c>
      <c r="F6">
        <v>8</v>
      </c>
      <c r="H6">
        <v>139.47759676736621</v>
      </c>
    </row>
    <row r="7" spans="1:8" x14ac:dyDescent="0.2">
      <c r="A7">
        <v>2.5</v>
      </c>
      <c r="B7">
        <v>-28</v>
      </c>
      <c r="C7">
        <v>142</v>
      </c>
      <c r="D7">
        <v>62</v>
      </c>
      <c r="E7">
        <v>63.9</v>
      </c>
      <c r="F7">
        <v>8</v>
      </c>
      <c r="H7">
        <v>157.45475540611659</v>
      </c>
    </row>
    <row r="8" spans="1:8" x14ac:dyDescent="0.2">
      <c r="A8">
        <v>3</v>
      </c>
      <c r="B8">
        <v>-26</v>
      </c>
      <c r="C8">
        <v>163</v>
      </c>
      <c r="D8">
        <v>63</v>
      </c>
      <c r="E8">
        <v>63.9</v>
      </c>
      <c r="F8">
        <v>8</v>
      </c>
      <c r="H8">
        <v>176.67484257811009</v>
      </c>
    </row>
    <row r="9" spans="1:8" x14ac:dyDescent="0.2">
      <c r="A9">
        <v>3.5</v>
      </c>
      <c r="B9">
        <v>-21</v>
      </c>
      <c r="C9">
        <v>195</v>
      </c>
      <c r="D9">
        <v>64</v>
      </c>
      <c r="E9">
        <v>63.9</v>
      </c>
      <c r="F9">
        <v>8</v>
      </c>
      <c r="H9">
        <v>206.30559856678639</v>
      </c>
    </row>
    <row r="10" spans="1:8" x14ac:dyDescent="0.2">
      <c r="A10">
        <v>4</v>
      </c>
      <c r="B10">
        <v>-11</v>
      </c>
      <c r="C10">
        <v>232</v>
      </c>
      <c r="D10">
        <v>67</v>
      </c>
      <c r="E10">
        <v>63.9</v>
      </c>
      <c r="F10">
        <v>8</v>
      </c>
      <c r="H10">
        <v>241.73125573661341</v>
      </c>
    </row>
    <row r="11" spans="1:8" x14ac:dyDescent="0.2">
      <c r="A11">
        <v>4.5</v>
      </c>
      <c r="B11">
        <v>-5</v>
      </c>
      <c r="C11">
        <v>284</v>
      </c>
      <c r="D11">
        <v>70</v>
      </c>
      <c r="E11">
        <v>63.9</v>
      </c>
      <c r="F11">
        <v>8</v>
      </c>
      <c r="H11">
        <v>292.54230463302218</v>
      </c>
    </row>
    <row r="12" spans="1:8" x14ac:dyDescent="0.2">
      <c r="A12">
        <v>5</v>
      </c>
      <c r="B12">
        <v>2</v>
      </c>
      <c r="C12">
        <v>351</v>
      </c>
      <c r="D12">
        <v>73</v>
      </c>
      <c r="E12">
        <v>63.9</v>
      </c>
      <c r="F12">
        <v>8</v>
      </c>
      <c r="H12">
        <v>358.5163873520986</v>
      </c>
    </row>
    <row r="13" spans="1:8" x14ac:dyDescent="0.2">
      <c r="A13">
        <v>5.5</v>
      </c>
      <c r="B13">
        <v>13</v>
      </c>
      <c r="C13">
        <v>444</v>
      </c>
      <c r="D13">
        <v>83</v>
      </c>
      <c r="E13">
        <v>63.9</v>
      </c>
      <c r="F13">
        <v>8</v>
      </c>
      <c r="H13">
        <v>451.87830220093548</v>
      </c>
    </row>
    <row r="14" spans="1:8" x14ac:dyDescent="0.2">
      <c r="A14">
        <v>6</v>
      </c>
      <c r="B14">
        <v>26</v>
      </c>
      <c r="C14">
        <v>549</v>
      </c>
      <c r="D14">
        <v>85</v>
      </c>
      <c r="E14">
        <v>63.9</v>
      </c>
      <c r="F14">
        <v>8</v>
      </c>
      <c r="H14">
        <v>556.1492605407293</v>
      </c>
    </row>
    <row r="15" spans="1:8" x14ac:dyDescent="0.2">
      <c r="A15">
        <v>6.5</v>
      </c>
      <c r="B15">
        <v>19</v>
      </c>
      <c r="C15">
        <v>657</v>
      </c>
      <c r="D15">
        <v>100</v>
      </c>
      <c r="E15">
        <v>63.9</v>
      </c>
      <c r="F15">
        <v>8</v>
      </c>
      <c r="H15">
        <v>664.83832621171894</v>
      </c>
    </row>
    <row r="16" spans="1:8" x14ac:dyDescent="0.2">
      <c r="A16">
        <v>7</v>
      </c>
      <c r="B16">
        <v>31</v>
      </c>
      <c r="C16">
        <v>767</v>
      </c>
      <c r="D16">
        <v>100</v>
      </c>
      <c r="E16">
        <v>63.9</v>
      </c>
      <c r="F16">
        <v>8</v>
      </c>
      <c r="H16">
        <v>774.11239494016627</v>
      </c>
    </row>
    <row r="17" spans="1:8" x14ac:dyDescent="0.2">
      <c r="A17">
        <v>7.5</v>
      </c>
      <c r="B17">
        <v>27</v>
      </c>
      <c r="C17">
        <v>859</v>
      </c>
      <c r="D17">
        <v>109</v>
      </c>
      <c r="E17">
        <v>63.9</v>
      </c>
      <c r="F17">
        <v>8</v>
      </c>
      <c r="H17">
        <v>866.30883638573141</v>
      </c>
    </row>
    <row r="18" spans="1:8" x14ac:dyDescent="0.2">
      <c r="A18">
        <v>8</v>
      </c>
      <c r="B18">
        <v>26</v>
      </c>
      <c r="C18">
        <v>951</v>
      </c>
      <c r="D18">
        <v>118</v>
      </c>
      <c r="E18">
        <v>63.9</v>
      </c>
      <c r="F18">
        <v>8</v>
      </c>
      <c r="H18">
        <v>958.64539846598132</v>
      </c>
    </row>
    <row r="19" spans="1:8" x14ac:dyDescent="0.2">
      <c r="A19">
        <v>8.5</v>
      </c>
      <c r="B19">
        <v>26</v>
      </c>
      <c r="C19">
        <v>1015</v>
      </c>
      <c r="D19">
        <v>126</v>
      </c>
      <c r="E19">
        <v>63.9</v>
      </c>
      <c r="F19">
        <v>8</v>
      </c>
      <c r="H19">
        <v>1023.121204941037</v>
      </c>
    </row>
    <row r="20" spans="1:8" x14ac:dyDescent="0.2">
      <c r="A20">
        <v>9</v>
      </c>
      <c r="B20">
        <v>23</v>
      </c>
      <c r="C20">
        <v>1062</v>
      </c>
      <c r="D20">
        <v>131</v>
      </c>
      <c r="E20">
        <v>63.9</v>
      </c>
      <c r="F20">
        <v>8</v>
      </c>
      <c r="H20">
        <v>1070.296220679116</v>
      </c>
    </row>
    <row r="21" spans="1:8" x14ac:dyDescent="0.2">
      <c r="A21">
        <v>9.5</v>
      </c>
      <c r="B21">
        <v>19</v>
      </c>
      <c r="C21">
        <v>1095</v>
      </c>
      <c r="D21">
        <v>134</v>
      </c>
      <c r="E21">
        <v>63.9</v>
      </c>
      <c r="F21">
        <v>8</v>
      </c>
      <c r="H21">
        <v>1103.3322255784969</v>
      </c>
    </row>
    <row r="22" spans="1:8" x14ac:dyDescent="0.2">
      <c r="A22">
        <v>10</v>
      </c>
      <c r="B22">
        <v>11</v>
      </c>
      <c r="C22">
        <v>1115</v>
      </c>
      <c r="D22">
        <v>132</v>
      </c>
      <c r="E22">
        <v>63.9</v>
      </c>
      <c r="F22">
        <v>8</v>
      </c>
      <c r="H22">
        <v>1122.8401489081159</v>
      </c>
    </row>
    <row r="23" spans="1:8" x14ac:dyDescent="0.2">
      <c r="A23">
        <v>10.5</v>
      </c>
      <c r="B23">
        <v>9</v>
      </c>
      <c r="C23">
        <v>1124</v>
      </c>
      <c r="D23">
        <v>136</v>
      </c>
      <c r="E23">
        <v>63.9</v>
      </c>
      <c r="F23">
        <v>8</v>
      </c>
      <c r="H23">
        <v>1132.2336331340809</v>
      </c>
    </row>
    <row r="24" spans="1:8" x14ac:dyDescent="0.2">
      <c r="A24">
        <v>11</v>
      </c>
      <c r="B24">
        <v>-2</v>
      </c>
      <c r="C24">
        <v>1119</v>
      </c>
      <c r="D24">
        <v>134</v>
      </c>
      <c r="E24">
        <v>63.9</v>
      </c>
      <c r="F24">
        <v>8</v>
      </c>
      <c r="H24">
        <v>1126.9964507486261</v>
      </c>
    </row>
    <row r="25" spans="1:8" x14ac:dyDescent="0.2">
      <c r="A25">
        <v>11.5</v>
      </c>
      <c r="B25">
        <v>0</v>
      </c>
      <c r="C25">
        <v>1103</v>
      </c>
      <c r="D25">
        <v>135</v>
      </c>
      <c r="E25">
        <v>63.9</v>
      </c>
      <c r="F25">
        <v>8</v>
      </c>
      <c r="H25">
        <v>1111.2308491038209</v>
      </c>
    </row>
    <row r="26" spans="1:8" x14ac:dyDescent="0.2">
      <c r="A26">
        <v>12</v>
      </c>
      <c r="B26">
        <v>-11</v>
      </c>
      <c r="C26">
        <v>1079</v>
      </c>
      <c r="D26">
        <v>130</v>
      </c>
      <c r="E26">
        <v>63.9</v>
      </c>
      <c r="F26">
        <v>8</v>
      </c>
      <c r="H26">
        <v>1086.8587764746619</v>
      </c>
    </row>
    <row r="27" spans="1:8" x14ac:dyDescent="0.2">
      <c r="A27">
        <v>12.5</v>
      </c>
      <c r="B27">
        <v>-11</v>
      </c>
      <c r="C27">
        <v>1051</v>
      </c>
      <c r="D27">
        <v>132</v>
      </c>
      <c r="E27">
        <v>63.9</v>
      </c>
      <c r="F27">
        <v>8</v>
      </c>
      <c r="H27">
        <v>1059.313928918147</v>
      </c>
    </row>
    <row r="28" spans="1:8" x14ac:dyDescent="0.2">
      <c r="A28">
        <v>13</v>
      </c>
      <c r="B28">
        <v>-7</v>
      </c>
      <c r="C28">
        <v>1028</v>
      </c>
      <c r="D28">
        <v>132</v>
      </c>
      <c r="E28">
        <v>63.9</v>
      </c>
      <c r="F28">
        <v>8</v>
      </c>
      <c r="H28">
        <v>1036.463699316093</v>
      </c>
    </row>
    <row r="29" spans="1:8" x14ac:dyDescent="0.2">
      <c r="A29">
        <v>13.5</v>
      </c>
      <c r="B29">
        <v>-4</v>
      </c>
      <c r="C29">
        <v>1013</v>
      </c>
      <c r="D29">
        <v>127</v>
      </c>
      <c r="E29">
        <v>63.9</v>
      </c>
      <c r="F29">
        <v>8</v>
      </c>
      <c r="H29">
        <v>1020.9378041781</v>
      </c>
    </row>
    <row r="30" spans="1:8" x14ac:dyDescent="0.2">
      <c r="A30">
        <v>14</v>
      </c>
      <c r="B30">
        <v>-3</v>
      </c>
      <c r="C30">
        <v>1015</v>
      </c>
      <c r="D30">
        <v>128</v>
      </c>
      <c r="E30">
        <v>63.9</v>
      </c>
      <c r="F30">
        <v>8</v>
      </c>
      <c r="H30">
        <v>1023.043498586448</v>
      </c>
    </row>
    <row r="31" spans="1:8" x14ac:dyDescent="0.2">
      <c r="A31">
        <v>14.5</v>
      </c>
      <c r="B31">
        <v>2</v>
      </c>
      <c r="C31">
        <v>1029</v>
      </c>
      <c r="D31">
        <v>131</v>
      </c>
      <c r="E31">
        <v>63.9</v>
      </c>
      <c r="F31">
        <v>8</v>
      </c>
      <c r="H31">
        <v>1037.307090499241</v>
      </c>
    </row>
    <row r="32" spans="1:8" x14ac:dyDescent="0.2">
      <c r="A32">
        <v>15</v>
      </c>
      <c r="B32">
        <v>2</v>
      </c>
      <c r="C32">
        <v>1049</v>
      </c>
      <c r="D32">
        <v>130</v>
      </c>
      <c r="E32">
        <v>63.9</v>
      </c>
      <c r="F32">
        <v>8</v>
      </c>
      <c r="H32">
        <v>1057.026489734292</v>
      </c>
    </row>
    <row r="33" spans="1:8" x14ac:dyDescent="0.2">
      <c r="A33">
        <v>15.5</v>
      </c>
      <c r="B33">
        <v>3</v>
      </c>
      <c r="C33">
        <v>1063</v>
      </c>
      <c r="D33">
        <v>133</v>
      </c>
      <c r="E33">
        <v>63.9</v>
      </c>
      <c r="F33">
        <v>8</v>
      </c>
      <c r="H33">
        <v>1071.292210370261</v>
      </c>
    </row>
    <row r="34" spans="1:8" x14ac:dyDescent="0.2">
      <c r="A34">
        <v>16</v>
      </c>
      <c r="B34">
        <v>1</v>
      </c>
      <c r="C34">
        <v>1075</v>
      </c>
      <c r="D34">
        <v>133</v>
      </c>
      <c r="E34">
        <v>63.9</v>
      </c>
      <c r="F34">
        <v>8</v>
      </c>
      <c r="H34">
        <v>1083.196658045066</v>
      </c>
    </row>
    <row r="35" spans="1:8" x14ac:dyDescent="0.2">
      <c r="A35">
        <v>16.5</v>
      </c>
      <c r="B35">
        <v>0</v>
      </c>
      <c r="C35">
        <v>1075</v>
      </c>
      <c r="D35">
        <v>138</v>
      </c>
      <c r="E35">
        <v>63.9</v>
      </c>
      <c r="F35">
        <v>8</v>
      </c>
      <c r="H35">
        <v>1083.821479765003</v>
      </c>
    </row>
    <row r="36" spans="1:8" x14ac:dyDescent="0.2">
      <c r="A36">
        <v>17</v>
      </c>
      <c r="B36">
        <v>-10</v>
      </c>
      <c r="C36">
        <v>1068</v>
      </c>
      <c r="D36">
        <v>131</v>
      </c>
      <c r="E36">
        <v>63.9</v>
      </c>
      <c r="F36">
        <v>8</v>
      </c>
      <c r="H36">
        <v>1076.05064936554</v>
      </c>
    </row>
    <row r="37" spans="1:8" x14ac:dyDescent="0.2">
      <c r="A37">
        <v>17.5</v>
      </c>
      <c r="B37">
        <v>-15</v>
      </c>
      <c r="C37">
        <v>1043</v>
      </c>
      <c r="D37">
        <v>126</v>
      </c>
      <c r="E37">
        <v>63.9</v>
      </c>
      <c r="F37">
        <v>8</v>
      </c>
      <c r="H37">
        <v>1050.6902493123271</v>
      </c>
    </row>
    <row r="38" spans="1:8" x14ac:dyDescent="0.2">
      <c r="A38">
        <v>18</v>
      </c>
      <c r="B38">
        <v>-15</v>
      </c>
      <c r="C38">
        <v>1013</v>
      </c>
      <c r="D38">
        <v>125</v>
      </c>
      <c r="E38">
        <v>63.9</v>
      </c>
      <c r="F38">
        <v>8</v>
      </c>
      <c r="H38">
        <v>1020.793318943654</v>
      </c>
    </row>
    <row r="39" spans="1:8" x14ac:dyDescent="0.2">
      <c r="A39">
        <v>18.5</v>
      </c>
      <c r="B39">
        <v>-19</v>
      </c>
      <c r="C39">
        <v>957</v>
      </c>
      <c r="D39">
        <v>122</v>
      </c>
      <c r="E39">
        <v>63.9</v>
      </c>
      <c r="F39">
        <v>8</v>
      </c>
      <c r="H39">
        <v>964.9321219650634</v>
      </c>
    </row>
    <row r="40" spans="1:8" x14ac:dyDescent="0.2">
      <c r="A40">
        <v>19</v>
      </c>
      <c r="B40">
        <v>-29</v>
      </c>
      <c r="C40">
        <v>893</v>
      </c>
      <c r="D40">
        <v>114</v>
      </c>
      <c r="E40">
        <v>63.9</v>
      </c>
      <c r="F40">
        <v>8</v>
      </c>
      <c r="H40">
        <v>900.71416109662675</v>
      </c>
    </row>
    <row r="41" spans="1:8" x14ac:dyDescent="0.2">
      <c r="A41">
        <v>19.5</v>
      </c>
      <c r="B41">
        <v>-40</v>
      </c>
      <c r="C41">
        <v>801</v>
      </c>
      <c r="D41">
        <v>102</v>
      </c>
      <c r="E41">
        <v>63.9</v>
      </c>
      <c r="F41">
        <v>8</v>
      </c>
      <c r="H41">
        <v>808.45840956724544</v>
      </c>
    </row>
    <row r="42" spans="1:8" x14ac:dyDescent="0.2">
      <c r="A42">
        <v>20</v>
      </c>
      <c r="B42">
        <v>-40</v>
      </c>
      <c r="C42">
        <v>693</v>
      </c>
      <c r="D42">
        <v>99</v>
      </c>
      <c r="E42">
        <v>63.9</v>
      </c>
      <c r="F42">
        <v>8</v>
      </c>
      <c r="H42">
        <v>701.17758093082239</v>
      </c>
    </row>
    <row r="43" spans="1:8" x14ac:dyDescent="0.2">
      <c r="A43">
        <v>20.5</v>
      </c>
      <c r="B43">
        <v>-38</v>
      </c>
      <c r="C43">
        <v>580</v>
      </c>
      <c r="D43">
        <v>95</v>
      </c>
      <c r="E43">
        <v>63.9</v>
      </c>
      <c r="F43">
        <v>8</v>
      </c>
      <c r="H43">
        <v>588.95585573114056</v>
      </c>
    </row>
    <row r="44" spans="1:8" x14ac:dyDescent="0.2">
      <c r="A44">
        <v>21</v>
      </c>
      <c r="B44">
        <v>-36</v>
      </c>
      <c r="C44">
        <v>485</v>
      </c>
      <c r="D44">
        <v>88</v>
      </c>
      <c r="E44">
        <v>63.9</v>
      </c>
      <c r="F44">
        <v>8</v>
      </c>
      <c r="H44">
        <v>494.23172702690789</v>
      </c>
    </row>
    <row r="45" spans="1:8" x14ac:dyDescent="0.2">
      <c r="A45">
        <v>21.5</v>
      </c>
      <c r="B45">
        <v>-31</v>
      </c>
      <c r="C45">
        <v>381</v>
      </c>
      <c r="D45">
        <v>89</v>
      </c>
      <c r="E45">
        <v>63.9</v>
      </c>
      <c r="F45">
        <v>8</v>
      </c>
      <c r="H45">
        <v>392.48312065616273</v>
      </c>
    </row>
    <row r="46" spans="1:8" x14ac:dyDescent="0.2">
      <c r="A46">
        <v>22</v>
      </c>
      <c r="B46">
        <v>-32</v>
      </c>
      <c r="C46">
        <v>316</v>
      </c>
      <c r="D46">
        <v>77</v>
      </c>
      <c r="E46">
        <v>63.9</v>
      </c>
      <c r="F46">
        <v>8</v>
      </c>
      <c r="H46">
        <v>326.81646225366308</v>
      </c>
    </row>
    <row r="47" spans="1:8" x14ac:dyDescent="0.2">
      <c r="A47">
        <v>22.5</v>
      </c>
      <c r="B47">
        <v>-33</v>
      </c>
      <c r="C47">
        <v>252</v>
      </c>
      <c r="D47">
        <v>74</v>
      </c>
      <c r="E47">
        <v>63.9</v>
      </c>
      <c r="F47">
        <v>8</v>
      </c>
      <c r="H47">
        <v>264.70549673174531</v>
      </c>
    </row>
    <row r="48" spans="1:8" x14ac:dyDescent="0.2">
      <c r="A48">
        <v>23</v>
      </c>
      <c r="B48">
        <v>-35</v>
      </c>
      <c r="C48">
        <v>198</v>
      </c>
      <c r="D48">
        <v>69</v>
      </c>
      <c r="E48">
        <v>63.9</v>
      </c>
      <c r="F48">
        <v>8</v>
      </c>
      <c r="H48">
        <v>212.57939693206399</v>
      </c>
    </row>
    <row r="49" spans="1:8" x14ac:dyDescent="0.2">
      <c r="A49">
        <v>23.5</v>
      </c>
      <c r="B49">
        <v>-38</v>
      </c>
      <c r="C49">
        <v>167</v>
      </c>
      <c r="D49">
        <v>69</v>
      </c>
      <c r="E49">
        <v>63.9</v>
      </c>
      <c r="F49">
        <v>8</v>
      </c>
      <c r="H49">
        <v>184.64560650066929</v>
      </c>
    </row>
    <row r="50" spans="1:8" x14ac:dyDescent="0.2">
      <c r="A50">
        <v>24</v>
      </c>
      <c r="B50">
        <v>-39</v>
      </c>
      <c r="C50">
        <v>143</v>
      </c>
      <c r="D50">
        <v>64</v>
      </c>
      <c r="E50">
        <v>63.9</v>
      </c>
      <c r="F50">
        <v>8</v>
      </c>
      <c r="H50">
        <v>161.4496825639493</v>
      </c>
    </row>
    <row r="51" spans="1:8" x14ac:dyDescent="0.2">
      <c r="A51">
        <v>24.5</v>
      </c>
      <c r="B51">
        <v>-41</v>
      </c>
      <c r="C51">
        <v>126</v>
      </c>
      <c r="D51">
        <v>64</v>
      </c>
      <c r="E51">
        <v>63.9</v>
      </c>
      <c r="F51">
        <v>8</v>
      </c>
      <c r="H51">
        <v>147.14958375748131</v>
      </c>
    </row>
    <row r="52" spans="1:8" x14ac:dyDescent="0.2">
      <c r="A52">
        <v>25</v>
      </c>
      <c r="B52">
        <v>-41</v>
      </c>
      <c r="C52">
        <v>110</v>
      </c>
      <c r="D52">
        <v>61</v>
      </c>
      <c r="E52">
        <v>63.9</v>
      </c>
      <c r="F52">
        <v>8</v>
      </c>
      <c r="H52">
        <v>132.29512462672241</v>
      </c>
    </row>
    <row r="53" spans="1:8" x14ac:dyDescent="0.2">
      <c r="A53">
        <v>25.5</v>
      </c>
      <c r="B53">
        <v>-42</v>
      </c>
      <c r="C53">
        <v>98</v>
      </c>
      <c r="D53">
        <v>60</v>
      </c>
      <c r="E53">
        <v>63.9</v>
      </c>
      <c r="F53">
        <v>8</v>
      </c>
      <c r="H53">
        <v>122.343777937417</v>
      </c>
    </row>
    <row r="54" spans="1:8" x14ac:dyDescent="0.2">
      <c r="A54">
        <v>26</v>
      </c>
      <c r="B54">
        <v>-41</v>
      </c>
      <c r="C54">
        <v>90</v>
      </c>
      <c r="D54">
        <v>58</v>
      </c>
      <c r="E54">
        <v>63.9</v>
      </c>
      <c r="F54">
        <v>8</v>
      </c>
      <c r="H54">
        <v>114.65164630305139</v>
      </c>
    </row>
    <row r="55" spans="1:8" x14ac:dyDescent="0.2">
      <c r="A55">
        <v>26.5</v>
      </c>
      <c r="B55">
        <v>-49</v>
      </c>
      <c r="C55">
        <v>81</v>
      </c>
      <c r="D55">
        <v>56</v>
      </c>
      <c r="E55">
        <v>63.9</v>
      </c>
      <c r="F55">
        <v>8</v>
      </c>
      <c r="H55">
        <v>109.9909087152206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F9668-A97B-CE41-BACA-47C7E4EC7F9D}">
  <dimension ref="A1:G26"/>
  <sheetViews>
    <sheetView workbookViewId="0">
      <selection activeCell="F31" sqref="F31"/>
    </sheetView>
  </sheetViews>
  <sheetFormatPr baseColWidth="10" defaultRowHeight="15" x14ac:dyDescent="0.2"/>
  <cols>
    <col min="1" max="1" width="8.1640625" bestFit="1" customWidth="1"/>
    <col min="2" max="2" width="12.5" bestFit="1" customWidth="1"/>
    <col min="3" max="3" width="10.6640625" bestFit="1" customWidth="1"/>
    <col min="4" max="4" width="8.5" bestFit="1" customWidth="1"/>
    <col min="5" max="5" width="8.83203125" bestFit="1" customWidth="1"/>
    <col min="6" max="6" width="8.5" bestFit="1" customWidth="1"/>
    <col min="7" max="7" width="11" bestFit="1" customWidth="1"/>
  </cols>
  <sheetData>
    <row r="1" spans="1:7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">
      <c r="A2">
        <v>1</v>
      </c>
      <c r="B2">
        <v>60</v>
      </c>
      <c r="C2">
        <v>64.099999999999994</v>
      </c>
      <c r="D2">
        <v>1.2549999999999999</v>
      </c>
      <c r="E2">
        <v>1.264</v>
      </c>
      <c r="F2">
        <v>1.2470000000000001</v>
      </c>
      <c r="G2">
        <v>2.5139999999999998</v>
      </c>
    </row>
    <row r="3" spans="1:7" x14ac:dyDescent="0.2">
      <c r="A3">
        <v>2</v>
      </c>
      <c r="B3">
        <v>120</v>
      </c>
      <c r="C3">
        <v>64.7</v>
      </c>
      <c r="D3">
        <v>1.256</v>
      </c>
      <c r="E3">
        <v>1.266</v>
      </c>
      <c r="F3">
        <v>1.246</v>
      </c>
      <c r="G3">
        <v>2.5169999999999999</v>
      </c>
    </row>
    <row r="4" spans="1:7" x14ac:dyDescent="0.2">
      <c r="A4">
        <v>3</v>
      </c>
      <c r="B4">
        <v>360</v>
      </c>
      <c r="C4">
        <v>64.099999999999994</v>
      </c>
      <c r="D4">
        <v>1.25</v>
      </c>
      <c r="E4">
        <v>1.26</v>
      </c>
      <c r="F4">
        <v>1.24</v>
      </c>
      <c r="G4">
        <v>2.5179999999999998</v>
      </c>
    </row>
    <row r="5" spans="1:7" x14ac:dyDescent="0.2">
      <c r="A5">
        <v>4</v>
      </c>
      <c r="B5">
        <v>720</v>
      </c>
      <c r="C5">
        <v>64</v>
      </c>
      <c r="D5">
        <v>1.2669999999999999</v>
      </c>
      <c r="E5">
        <v>1.2789999999999999</v>
      </c>
      <c r="F5">
        <v>1.254</v>
      </c>
      <c r="G5">
        <v>2.5190000000000001</v>
      </c>
    </row>
    <row r="6" spans="1:7" x14ac:dyDescent="0.2">
      <c r="A6">
        <v>5</v>
      </c>
      <c r="B6">
        <v>1200</v>
      </c>
      <c r="C6">
        <v>49.5</v>
      </c>
      <c r="D6">
        <v>1.262</v>
      </c>
      <c r="E6">
        <v>1.272</v>
      </c>
      <c r="F6">
        <v>1.2470000000000001</v>
      </c>
      <c r="G6">
        <v>2.52</v>
      </c>
    </row>
    <row r="7" spans="1:7" x14ac:dyDescent="0.2">
      <c r="A7">
        <v>1</v>
      </c>
      <c r="B7">
        <v>60</v>
      </c>
      <c r="C7">
        <v>57.6</v>
      </c>
      <c r="D7">
        <v>1.246</v>
      </c>
      <c r="E7">
        <v>1.256</v>
      </c>
      <c r="F7">
        <v>1.238</v>
      </c>
      <c r="G7">
        <v>2.5139999999999998</v>
      </c>
    </row>
    <row r="8" spans="1:7" x14ac:dyDescent="0.2">
      <c r="A8">
        <v>2</v>
      </c>
      <c r="B8">
        <v>120</v>
      </c>
      <c r="C8">
        <v>57.4</v>
      </c>
      <c r="D8">
        <v>1.2529999999999999</v>
      </c>
      <c r="E8">
        <v>1.262</v>
      </c>
      <c r="F8">
        <v>1.244</v>
      </c>
      <c r="G8">
        <v>2.5139999999999998</v>
      </c>
    </row>
    <row r="9" spans="1:7" x14ac:dyDescent="0.2">
      <c r="A9">
        <v>3</v>
      </c>
      <c r="B9">
        <v>360</v>
      </c>
      <c r="C9">
        <v>57.9</v>
      </c>
      <c r="D9">
        <v>1.2450000000000001</v>
      </c>
      <c r="E9">
        <v>1.254</v>
      </c>
      <c r="F9">
        <v>1.234</v>
      </c>
      <c r="G9">
        <v>2.5139999999999998</v>
      </c>
    </row>
    <row r="10" spans="1:7" x14ac:dyDescent="0.2">
      <c r="A10">
        <v>4</v>
      </c>
      <c r="B10">
        <v>720</v>
      </c>
      <c r="C10">
        <v>57.8</v>
      </c>
      <c r="D10">
        <v>1.2430000000000001</v>
      </c>
      <c r="E10">
        <v>1.2529999999999999</v>
      </c>
      <c r="F10">
        <v>1.2330000000000001</v>
      </c>
      <c r="G10">
        <v>2.5139999999999998</v>
      </c>
    </row>
    <row r="11" spans="1:7" x14ac:dyDescent="0.2">
      <c r="A11">
        <v>5</v>
      </c>
      <c r="B11">
        <v>1200</v>
      </c>
      <c r="C11">
        <v>41.9</v>
      </c>
      <c r="D11">
        <v>1.25</v>
      </c>
      <c r="E11">
        <v>1.26</v>
      </c>
      <c r="F11">
        <v>1.2430000000000001</v>
      </c>
      <c r="G11">
        <v>2.5139999999999998</v>
      </c>
    </row>
    <row r="12" spans="1:7" x14ac:dyDescent="0.2">
      <c r="A12">
        <v>1</v>
      </c>
      <c r="B12">
        <v>60</v>
      </c>
      <c r="C12">
        <v>77.3</v>
      </c>
      <c r="D12">
        <v>1.2589999999999999</v>
      </c>
      <c r="E12">
        <v>1.2709999999999999</v>
      </c>
      <c r="F12">
        <v>1.25</v>
      </c>
      <c r="G12">
        <v>2.5139999999999998</v>
      </c>
    </row>
    <row r="13" spans="1:7" x14ac:dyDescent="0.2">
      <c r="A13">
        <v>2</v>
      </c>
      <c r="B13">
        <v>120</v>
      </c>
      <c r="C13">
        <v>77.099999999999994</v>
      </c>
      <c r="D13">
        <v>1.27</v>
      </c>
      <c r="E13">
        <v>1.2809999999999999</v>
      </c>
      <c r="F13">
        <v>1.2589999999999999</v>
      </c>
      <c r="G13">
        <v>2.5139999999999998</v>
      </c>
    </row>
    <row r="14" spans="1:7" x14ac:dyDescent="0.2">
      <c r="A14">
        <v>3</v>
      </c>
      <c r="B14">
        <v>360</v>
      </c>
      <c r="C14">
        <v>77.099999999999994</v>
      </c>
      <c r="D14">
        <v>1.2709999999999999</v>
      </c>
      <c r="E14">
        <v>1.2829999999999999</v>
      </c>
      <c r="F14">
        <v>1.26</v>
      </c>
      <c r="G14">
        <v>2.5139999999999998</v>
      </c>
    </row>
    <row r="15" spans="1:7" x14ac:dyDescent="0.2">
      <c r="A15">
        <v>4</v>
      </c>
      <c r="B15">
        <v>720</v>
      </c>
      <c r="C15">
        <v>76.599999999999994</v>
      </c>
      <c r="D15">
        <v>1.252</v>
      </c>
      <c r="E15">
        <v>1.27</v>
      </c>
      <c r="F15">
        <v>1.2410000000000001</v>
      </c>
      <c r="G15">
        <v>2.5139999999999998</v>
      </c>
    </row>
    <row r="16" spans="1:7" x14ac:dyDescent="0.2">
      <c r="A16">
        <v>5</v>
      </c>
      <c r="B16">
        <v>1200</v>
      </c>
      <c r="C16">
        <v>34.799999999999997</v>
      </c>
      <c r="D16">
        <v>1.2789999999999999</v>
      </c>
      <c r="E16">
        <v>1.29</v>
      </c>
      <c r="F16">
        <v>1.2709999999999999</v>
      </c>
      <c r="G16">
        <v>2.5139999999999998</v>
      </c>
    </row>
    <row r="17" spans="1:7" x14ac:dyDescent="0.2">
      <c r="A17">
        <v>1</v>
      </c>
      <c r="B17">
        <v>60</v>
      </c>
      <c r="C17">
        <v>50</v>
      </c>
      <c r="D17">
        <v>1.254</v>
      </c>
      <c r="E17">
        <v>1.264</v>
      </c>
      <c r="F17">
        <v>1.248</v>
      </c>
      <c r="G17">
        <v>2.5139999999999998</v>
      </c>
    </row>
    <row r="18" spans="1:7" x14ac:dyDescent="0.2">
      <c r="A18">
        <v>2</v>
      </c>
      <c r="B18">
        <v>120</v>
      </c>
      <c r="C18">
        <v>50.1</v>
      </c>
      <c r="D18">
        <v>1.2729999999999999</v>
      </c>
      <c r="E18">
        <v>1.2809999999999999</v>
      </c>
      <c r="F18">
        <v>1.2629999999999999</v>
      </c>
      <c r="G18">
        <v>2.5139999999999998</v>
      </c>
    </row>
    <row r="19" spans="1:7" x14ac:dyDescent="0.2">
      <c r="A19">
        <v>3</v>
      </c>
      <c r="B19">
        <v>360</v>
      </c>
      <c r="C19">
        <v>50</v>
      </c>
      <c r="D19">
        <v>1.2729999999999999</v>
      </c>
      <c r="E19">
        <v>1.282</v>
      </c>
      <c r="F19">
        <v>1.2629999999999999</v>
      </c>
      <c r="G19">
        <v>2.5139999999999998</v>
      </c>
    </row>
    <row r="20" spans="1:7" x14ac:dyDescent="0.2">
      <c r="A20">
        <v>4</v>
      </c>
      <c r="B20">
        <v>720</v>
      </c>
      <c r="C20">
        <v>50</v>
      </c>
      <c r="D20">
        <v>1.2749999999999999</v>
      </c>
      <c r="E20">
        <v>1.286</v>
      </c>
      <c r="F20">
        <v>1.2669999999999999</v>
      </c>
      <c r="G20">
        <v>2.5139999999999998</v>
      </c>
    </row>
    <row r="21" spans="1:7" x14ac:dyDescent="0.2">
      <c r="A21">
        <v>5</v>
      </c>
      <c r="B21">
        <v>1200</v>
      </c>
      <c r="C21">
        <v>26.1</v>
      </c>
      <c r="D21">
        <v>1.2729999999999999</v>
      </c>
      <c r="E21">
        <v>1.28</v>
      </c>
      <c r="F21">
        <v>1.2669999999999999</v>
      </c>
      <c r="G21">
        <v>2.5139999999999998</v>
      </c>
    </row>
    <row r="22" spans="1:7" x14ac:dyDescent="0.2">
      <c r="A22">
        <v>1</v>
      </c>
      <c r="B22">
        <v>60</v>
      </c>
      <c r="C22">
        <v>30.5</v>
      </c>
      <c r="D22">
        <v>1.2509999999999999</v>
      </c>
      <c r="E22">
        <v>1.2569999999999999</v>
      </c>
      <c r="F22">
        <v>1.2450000000000001</v>
      </c>
      <c r="G22">
        <v>2.5139999999999998</v>
      </c>
    </row>
    <row r="23" spans="1:7" x14ac:dyDescent="0.2">
      <c r="A23">
        <v>2</v>
      </c>
      <c r="B23">
        <v>120</v>
      </c>
      <c r="C23">
        <v>30.3</v>
      </c>
      <c r="D23">
        <v>1.2589999999999999</v>
      </c>
      <c r="E23">
        <v>1.266</v>
      </c>
      <c r="F23">
        <v>1.2529999999999999</v>
      </c>
      <c r="G23">
        <v>2.5139999999999998</v>
      </c>
    </row>
    <row r="24" spans="1:7" x14ac:dyDescent="0.2">
      <c r="A24">
        <v>3</v>
      </c>
      <c r="B24">
        <v>360</v>
      </c>
      <c r="C24">
        <v>30</v>
      </c>
      <c r="D24">
        <v>1.2749999999999999</v>
      </c>
      <c r="E24">
        <v>1.2809999999999999</v>
      </c>
      <c r="F24">
        <v>1.27</v>
      </c>
      <c r="G24">
        <v>2.5139999999999998</v>
      </c>
    </row>
    <row r="25" spans="1:7" x14ac:dyDescent="0.2">
      <c r="A25">
        <v>4</v>
      </c>
      <c r="B25">
        <v>720</v>
      </c>
      <c r="C25">
        <v>30</v>
      </c>
      <c r="D25">
        <v>1.2649999999999999</v>
      </c>
      <c r="E25">
        <v>1.272</v>
      </c>
      <c r="F25">
        <v>1.26</v>
      </c>
      <c r="G25">
        <v>2.5139999999999998</v>
      </c>
    </row>
    <row r="26" spans="1:7" x14ac:dyDescent="0.2">
      <c r="A26">
        <v>5</v>
      </c>
      <c r="B26">
        <v>1200</v>
      </c>
      <c r="C26">
        <v>20</v>
      </c>
      <c r="D26">
        <v>1.2509999999999999</v>
      </c>
      <c r="E26">
        <v>1.2549999999999999</v>
      </c>
      <c r="F26">
        <v>1.244</v>
      </c>
      <c r="G26">
        <v>2.5139999999999998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6"/>
  <sheetViews>
    <sheetView tabSelected="1" topLeftCell="G1" workbookViewId="0">
      <selection activeCell="N37" sqref="N37"/>
    </sheetView>
  </sheetViews>
  <sheetFormatPr baseColWidth="10" defaultColWidth="8.83203125" defaultRowHeight="15" x14ac:dyDescent="0.2"/>
  <cols>
    <col min="1" max="1" width="9.33203125" bestFit="1" customWidth="1"/>
    <col min="3" max="3" width="11.6640625" bestFit="1" customWidth="1"/>
    <col min="4" max="4" width="31" bestFit="1" customWidth="1"/>
    <col min="5" max="5" width="14" bestFit="1" customWidth="1"/>
    <col min="6" max="6" width="35.6640625" bestFit="1" customWidth="1"/>
    <col min="7" max="7" width="14.33203125" bestFit="1" customWidth="1"/>
    <col min="8" max="8" width="30" bestFit="1" customWidth="1"/>
    <col min="9" max="9" width="30" customWidth="1"/>
    <col min="10" max="10" width="15.5" bestFit="1" customWidth="1"/>
    <col min="11" max="11" width="13" bestFit="1" customWidth="1"/>
    <col min="12" max="12" width="27.5" bestFit="1" customWidth="1"/>
    <col min="13" max="14" width="20.1640625" bestFit="1" customWidth="1"/>
    <col min="15" max="15" width="18" bestFit="1" customWidth="1"/>
    <col min="16" max="16" width="17.6640625" bestFit="1" customWidth="1"/>
  </cols>
  <sheetData>
    <row r="1" spans="1:16" ht="14" customHeight="1" x14ac:dyDescent="0.2">
      <c r="B1" t="s">
        <v>15</v>
      </c>
      <c r="C1" t="s">
        <v>23</v>
      </c>
      <c r="D1" t="s">
        <v>24</v>
      </c>
      <c r="E1" s="2" t="s">
        <v>21</v>
      </c>
      <c r="F1" s="5" t="s">
        <v>28</v>
      </c>
      <c r="G1" s="7" t="s">
        <v>22</v>
      </c>
      <c r="H1" s="7" t="s">
        <v>25</v>
      </c>
      <c r="I1" s="7" t="s">
        <v>34</v>
      </c>
      <c r="J1" s="7" t="s">
        <v>26</v>
      </c>
      <c r="K1" s="7" t="s">
        <v>27</v>
      </c>
      <c r="L1" s="7" t="s">
        <v>30</v>
      </c>
      <c r="M1" s="7" t="s">
        <v>29</v>
      </c>
      <c r="N1" s="7" t="s">
        <v>31</v>
      </c>
      <c r="O1" s="7" t="s">
        <v>32</v>
      </c>
      <c r="P1" s="7" t="s">
        <v>33</v>
      </c>
    </row>
    <row r="2" spans="1:16" x14ac:dyDescent="0.2">
      <c r="A2" t="s">
        <v>16</v>
      </c>
      <c r="B2">
        <v>1</v>
      </c>
      <c r="C2">
        <f>Metingen!E2-Metingen!F2</f>
        <v>1.6999999999999904E-2</v>
      </c>
      <c r="D2">
        <f>C2/2</f>
        <v>8.499999999999952E-3</v>
      </c>
      <c r="E2" s="3">
        <f>2^(-1/2)*D2</f>
        <v>6.0104076400856197E-3</v>
      </c>
      <c r="F2" s="6">
        <f>Metingen!E2/(Metingen!C2*10^(-3))</f>
        <v>19.719188767550705</v>
      </c>
      <c r="G2">
        <f>Metingen!E2</f>
        <v>1.264</v>
      </c>
      <c r="H2">
        <f>D2/(2*G2)</f>
        <v>3.3623417721518798E-3</v>
      </c>
      <c r="I2">
        <f>H2/PI()*180</f>
        <v>0.19264799282484057</v>
      </c>
      <c r="J2">
        <v>200</v>
      </c>
      <c r="K2">
        <v>1</v>
      </c>
      <c r="L2">
        <f>(M2/J2)*10^(3)</f>
        <v>0.808892673035565</v>
      </c>
      <c r="M2">
        <v>0.161778534607113</v>
      </c>
      <c r="N2">
        <f>M2*(10^(-3))</f>
        <v>1.6177853460711301E-4</v>
      </c>
      <c r="O2">
        <f>H2/N2</f>
        <v>20.783608779233223</v>
      </c>
      <c r="P2">
        <f>I2/N2</f>
        <v>1190.8130661011087</v>
      </c>
    </row>
    <row r="3" spans="1:16" x14ac:dyDescent="0.2">
      <c r="B3">
        <v>2</v>
      </c>
      <c r="C3">
        <f>Metingen!E3-Metingen!F3</f>
        <v>2.0000000000000018E-2</v>
      </c>
      <c r="D3">
        <f t="shared" ref="D3:D26" si="0">C3/2</f>
        <v>1.0000000000000009E-2</v>
      </c>
      <c r="E3" s="3">
        <f t="shared" ref="E3:E26" si="1">2^(-1/2)*D3</f>
        <v>7.0710678118654805E-3</v>
      </c>
      <c r="F3" s="6">
        <f>Metingen!E3/(Metingen!C3*10^(-3))</f>
        <v>19.567233384853168</v>
      </c>
      <c r="G3">
        <f>Metingen!E3</f>
        <v>1.266</v>
      </c>
      <c r="H3">
        <f t="shared" ref="H3:H26" si="2">D3/(2*G3)</f>
        <v>3.9494470774091659E-3</v>
      </c>
      <c r="I3">
        <f t="shared" ref="I3:I26" si="3">H3/PI()*180</f>
        <v>0.22628664894582295</v>
      </c>
      <c r="J3">
        <v>200</v>
      </c>
      <c r="K3">
        <v>1</v>
      </c>
      <c r="L3">
        <f t="shared" ref="L3:L26" si="4">(M3/J3)*10^(3)</f>
        <v>0.808892673035565</v>
      </c>
      <c r="M3">
        <v>0.161778534607113</v>
      </c>
      <c r="N3">
        <f t="shared" ref="N3:N26" si="5">M3*(10^(-3))</f>
        <v>1.6177853460711301E-4</v>
      </c>
      <c r="O3">
        <f t="shared" ref="O3:O26" si="6">H3/N3</f>
        <v>24.412676793003406</v>
      </c>
      <c r="P3">
        <f t="shared" ref="P3:P26" si="7">I3/N3</f>
        <v>1398.7433468560648</v>
      </c>
    </row>
    <row r="4" spans="1:16" x14ac:dyDescent="0.2">
      <c r="B4">
        <v>3</v>
      </c>
      <c r="C4">
        <f>Metingen!E4-Metingen!F4</f>
        <v>2.0000000000000018E-2</v>
      </c>
      <c r="D4">
        <f t="shared" si="0"/>
        <v>1.0000000000000009E-2</v>
      </c>
      <c r="E4" s="3">
        <f t="shared" si="1"/>
        <v>7.0710678118654805E-3</v>
      </c>
      <c r="F4" s="6">
        <f>Metingen!E4/(Metingen!C4*10^(-3))</f>
        <v>19.656786271450862</v>
      </c>
      <c r="G4">
        <f>Metingen!E4</f>
        <v>1.26</v>
      </c>
      <c r="H4">
        <f t="shared" si="2"/>
        <v>3.9682539682539715E-3</v>
      </c>
      <c r="I4">
        <f t="shared" si="3"/>
        <v>0.22736420441699354</v>
      </c>
      <c r="J4">
        <v>200</v>
      </c>
      <c r="K4">
        <v>1</v>
      </c>
      <c r="L4">
        <f t="shared" si="4"/>
        <v>0.808892673035565</v>
      </c>
      <c r="M4">
        <v>0.161778534607113</v>
      </c>
      <c r="N4">
        <f t="shared" si="5"/>
        <v>1.6177853460711301E-4</v>
      </c>
      <c r="O4">
        <f t="shared" si="6"/>
        <v>24.528927634874851</v>
      </c>
      <c r="P4">
        <f t="shared" si="7"/>
        <v>1405.4040294601414</v>
      </c>
    </row>
    <row r="5" spans="1:16" x14ac:dyDescent="0.2">
      <c r="B5">
        <v>4</v>
      </c>
      <c r="C5">
        <f>Metingen!E5-Metingen!F5</f>
        <v>2.4999999999999911E-2</v>
      </c>
      <c r="D5">
        <f t="shared" si="0"/>
        <v>1.2499999999999956E-2</v>
      </c>
      <c r="E5" s="3">
        <f t="shared" si="1"/>
        <v>8.838834764831811E-3</v>
      </c>
      <c r="F5" s="6">
        <f>Metingen!E5/(Metingen!C5*10^(-3))</f>
        <v>19.984375</v>
      </c>
      <c r="G5">
        <f>Metingen!E5</f>
        <v>1.2789999999999999</v>
      </c>
      <c r="H5">
        <f t="shared" si="2"/>
        <v>4.886630179827974E-3</v>
      </c>
      <c r="I5">
        <f t="shared" si="3"/>
        <v>0.27998328534539746</v>
      </c>
      <c r="J5">
        <v>200</v>
      </c>
      <c r="K5">
        <v>1</v>
      </c>
      <c r="L5">
        <f t="shared" si="4"/>
        <v>0.808892673035565</v>
      </c>
      <c r="M5">
        <v>0.161778534607113</v>
      </c>
      <c r="N5">
        <f t="shared" si="5"/>
        <v>1.6177853460711301E-4</v>
      </c>
      <c r="O5">
        <f t="shared" si="6"/>
        <v>30.205677110967727</v>
      </c>
      <c r="P5">
        <f t="shared" si="7"/>
        <v>1730.6578157933648</v>
      </c>
    </row>
    <row r="6" spans="1:16" x14ac:dyDescent="0.2">
      <c r="B6">
        <v>5</v>
      </c>
      <c r="C6">
        <f>Metingen!E6-Metingen!F6</f>
        <v>2.4999999999999911E-2</v>
      </c>
      <c r="D6">
        <f t="shared" si="0"/>
        <v>1.2499999999999956E-2</v>
      </c>
      <c r="E6" s="3">
        <f t="shared" si="1"/>
        <v>8.838834764831811E-3</v>
      </c>
      <c r="F6" s="6">
        <f>Metingen!E6/(Metingen!C6*10^(-3))</f>
        <v>25.696969696969695</v>
      </c>
      <c r="G6">
        <f>Metingen!E6</f>
        <v>1.272</v>
      </c>
      <c r="H6">
        <f t="shared" si="2"/>
        <v>4.9135220125785988E-3</v>
      </c>
      <c r="I6">
        <f t="shared" si="3"/>
        <v>0.28152407386537992</v>
      </c>
      <c r="J6">
        <v>200</v>
      </c>
      <c r="K6">
        <v>1</v>
      </c>
      <c r="L6">
        <f t="shared" si="4"/>
        <v>0.808892673035565</v>
      </c>
      <c r="M6">
        <v>0.161778534607113</v>
      </c>
      <c r="N6">
        <f t="shared" si="5"/>
        <v>1.6177853460711301E-4</v>
      </c>
      <c r="O6">
        <f t="shared" si="6"/>
        <v>30.371903321484055</v>
      </c>
      <c r="P6">
        <f t="shared" si="7"/>
        <v>1740.1818761004031</v>
      </c>
    </row>
    <row r="7" spans="1:16" x14ac:dyDescent="0.2">
      <c r="A7" t="s">
        <v>17</v>
      </c>
      <c r="B7">
        <v>1</v>
      </c>
      <c r="C7">
        <f>Metingen!E7-Metingen!F7</f>
        <v>1.8000000000000016E-2</v>
      </c>
      <c r="D7">
        <f t="shared" si="0"/>
        <v>9.000000000000008E-3</v>
      </c>
      <c r="E7" s="3">
        <f t="shared" si="1"/>
        <v>6.3639610306789329E-3</v>
      </c>
      <c r="F7" s="6">
        <f>Metingen!E7/(Metingen!C7*10^(-3))</f>
        <v>21.805555555555554</v>
      </c>
      <c r="G7">
        <f>Metingen!E7</f>
        <v>1.256</v>
      </c>
      <c r="H7">
        <f t="shared" si="2"/>
        <v>3.5828025477707037E-3</v>
      </c>
      <c r="I7">
        <f t="shared" si="3"/>
        <v>0.20527946481597983</v>
      </c>
      <c r="J7">
        <v>200</v>
      </c>
      <c r="K7">
        <v>1</v>
      </c>
      <c r="L7">
        <f t="shared" si="4"/>
        <v>0.808892673035565</v>
      </c>
      <c r="M7">
        <v>0.161778534607113</v>
      </c>
      <c r="N7">
        <f t="shared" si="5"/>
        <v>1.6177853460711301E-4</v>
      </c>
      <c r="O7">
        <f t="shared" si="6"/>
        <v>22.146340714926815</v>
      </c>
      <c r="P7">
        <f t="shared" si="7"/>
        <v>1268.8918546240448</v>
      </c>
    </row>
    <row r="8" spans="1:16" x14ac:dyDescent="0.2">
      <c r="B8">
        <v>2</v>
      </c>
      <c r="C8">
        <f>Metingen!E8-Metingen!F8</f>
        <v>1.8000000000000016E-2</v>
      </c>
      <c r="D8">
        <f t="shared" si="0"/>
        <v>9.000000000000008E-3</v>
      </c>
      <c r="E8" s="3">
        <f t="shared" si="1"/>
        <v>6.3639610306789329E-3</v>
      </c>
      <c r="F8" s="6">
        <f>Metingen!E8/(Metingen!C8*10^(-3))</f>
        <v>21.986062717770036</v>
      </c>
      <c r="G8">
        <f>Metingen!E8</f>
        <v>1.262</v>
      </c>
      <c r="H8">
        <f t="shared" si="2"/>
        <v>3.5657686212361363E-3</v>
      </c>
      <c r="I8">
        <f t="shared" si="3"/>
        <v>0.2043034927170132</v>
      </c>
      <c r="J8">
        <v>200</v>
      </c>
      <c r="K8">
        <v>1</v>
      </c>
      <c r="L8">
        <f t="shared" si="4"/>
        <v>0.808892673035565</v>
      </c>
      <c r="M8">
        <v>0.161778534607113</v>
      </c>
      <c r="N8">
        <f t="shared" si="5"/>
        <v>1.6177853460711301E-4</v>
      </c>
      <c r="O8">
        <f t="shared" si="6"/>
        <v>22.041049079198164</v>
      </c>
      <c r="P8">
        <f t="shared" si="7"/>
        <v>1262.8590882787639</v>
      </c>
    </row>
    <row r="9" spans="1:16" x14ac:dyDescent="0.2">
      <c r="B9">
        <v>3</v>
      </c>
      <c r="C9">
        <f>Metingen!E9-Metingen!F9</f>
        <v>2.0000000000000018E-2</v>
      </c>
      <c r="D9">
        <f t="shared" si="0"/>
        <v>1.0000000000000009E-2</v>
      </c>
      <c r="E9" s="3">
        <f t="shared" si="1"/>
        <v>7.0710678118654805E-3</v>
      </c>
      <c r="F9" s="6">
        <f>Metingen!E9/(Metingen!C9*10^(-3))</f>
        <v>21.6580310880829</v>
      </c>
      <c r="G9">
        <f>Metingen!E9</f>
        <v>1.254</v>
      </c>
      <c r="H9">
        <f t="shared" si="2"/>
        <v>3.9872408293460957E-3</v>
      </c>
      <c r="I9">
        <f t="shared" si="3"/>
        <v>0.22845207142377341</v>
      </c>
      <c r="J9">
        <v>200</v>
      </c>
      <c r="K9">
        <v>1</v>
      </c>
      <c r="L9">
        <f t="shared" si="4"/>
        <v>0.808892673035565</v>
      </c>
      <c r="M9">
        <v>0.161778534607113</v>
      </c>
      <c r="N9">
        <f t="shared" si="5"/>
        <v>1.6177853460711301E-4</v>
      </c>
      <c r="O9">
        <f t="shared" si="6"/>
        <v>24.646290924993867</v>
      </c>
      <c r="P9">
        <f t="shared" si="7"/>
        <v>1412.1284506537304</v>
      </c>
    </row>
    <row r="10" spans="1:16" x14ac:dyDescent="0.2">
      <c r="B10">
        <v>4</v>
      </c>
      <c r="C10">
        <f>Metingen!E10-Metingen!F10</f>
        <v>1.9999999999999796E-2</v>
      </c>
      <c r="D10">
        <f t="shared" si="0"/>
        <v>9.9999999999998979E-3</v>
      </c>
      <c r="E10" s="3">
        <f t="shared" si="1"/>
        <v>7.0710678118654025E-3</v>
      </c>
      <c r="F10" s="6">
        <f>Metingen!E10/(Metingen!C10*10^(-3))</f>
        <v>21.678200692041521</v>
      </c>
      <c r="G10">
        <f>Metingen!E10</f>
        <v>1.2529999999999999</v>
      </c>
      <c r="H10">
        <f t="shared" si="2"/>
        <v>3.9904229848363526E-3</v>
      </c>
      <c r="I10">
        <f t="shared" si="3"/>
        <v>0.22863439550311951</v>
      </c>
      <c r="J10">
        <v>200</v>
      </c>
      <c r="K10">
        <v>1</v>
      </c>
      <c r="L10">
        <f t="shared" si="4"/>
        <v>0.808892673035565</v>
      </c>
      <c r="M10">
        <v>0.161778534607113</v>
      </c>
      <c r="N10">
        <f t="shared" si="5"/>
        <v>1.6177853460711301E-4</v>
      </c>
      <c r="O10">
        <f t="shared" si="6"/>
        <v>24.665960750153211</v>
      </c>
      <c r="P10">
        <f t="shared" si="7"/>
        <v>1413.2554486191211</v>
      </c>
    </row>
    <row r="11" spans="1:16" x14ac:dyDescent="0.2">
      <c r="B11">
        <v>5</v>
      </c>
      <c r="C11">
        <f>Metingen!E11-Metingen!F11</f>
        <v>1.6999999999999904E-2</v>
      </c>
      <c r="D11">
        <f t="shared" si="0"/>
        <v>8.499999999999952E-3</v>
      </c>
      <c r="E11" s="3">
        <f t="shared" si="1"/>
        <v>6.0104076400856197E-3</v>
      </c>
      <c r="F11" s="6">
        <f>Metingen!E11/(Metingen!C11*10^(-3))</f>
        <v>30.071599045346062</v>
      </c>
      <c r="G11">
        <f>Metingen!E11</f>
        <v>1.26</v>
      </c>
      <c r="H11">
        <f t="shared" si="2"/>
        <v>3.3730158730158541E-3</v>
      </c>
      <c r="I11">
        <f t="shared" si="3"/>
        <v>0.19325957375444328</v>
      </c>
      <c r="J11">
        <v>200</v>
      </c>
      <c r="K11">
        <v>1</v>
      </c>
      <c r="L11">
        <f t="shared" si="4"/>
        <v>0.808892673035565</v>
      </c>
      <c r="M11">
        <v>0.161778534607113</v>
      </c>
      <c r="N11">
        <f t="shared" si="5"/>
        <v>1.6177853460711301E-4</v>
      </c>
      <c r="O11">
        <f t="shared" si="6"/>
        <v>20.849588489643487</v>
      </c>
      <c r="P11">
        <f t="shared" si="7"/>
        <v>1194.5934250411124</v>
      </c>
    </row>
    <row r="12" spans="1:16" x14ac:dyDescent="0.2">
      <c r="A12" t="s">
        <v>18</v>
      </c>
      <c r="B12">
        <v>1</v>
      </c>
      <c r="C12">
        <f>Metingen!E12-Metingen!F12</f>
        <v>2.0999999999999908E-2</v>
      </c>
      <c r="D12">
        <f t="shared" si="0"/>
        <v>1.0499999999999954E-2</v>
      </c>
      <c r="E12" s="3">
        <f t="shared" si="1"/>
        <v>7.4246212024587158E-3</v>
      </c>
      <c r="F12" s="6">
        <f>Metingen!E12/(Metingen!C12*10^(-3))</f>
        <v>16.442432082794308</v>
      </c>
      <c r="G12">
        <f>Metingen!E12</f>
        <v>1.2709999999999999</v>
      </c>
      <c r="H12">
        <f t="shared" si="2"/>
        <v>4.1306058221872366E-3</v>
      </c>
      <c r="I12">
        <f t="shared" si="3"/>
        <v>0.23666628044349403</v>
      </c>
      <c r="J12">
        <v>200</v>
      </c>
      <c r="K12">
        <v>1</v>
      </c>
      <c r="L12">
        <f t="shared" si="4"/>
        <v>0.808892673035565</v>
      </c>
      <c r="M12">
        <v>0.161778534607113</v>
      </c>
      <c r="N12">
        <f t="shared" si="5"/>
        <v>1.6177853460711301E-4</v>
      </c>
      <c r="O12">
        <f t="shared" si="6"/>
        <v>25.532471487757089</v>
      </c>
      <c r="P12">
        <f t="shared" si="7"/>
        <v>1462.9028567865912</v>
      </c>
    </row>
    <row r="13" spans="1:16" x14ac:dyDescent="0.2">
      <c r="B13">
        <v>2</v>
      </c>
      <c r="C13">
        <f>Metingen!E13-Metingen!F13</f>
        <v>2.200000000000002E-2</v>
      </c>
      <c r="D13">
        <f t="shared" si="0"/>
        <v>1.100000000000001E-2</v>
      </c>
      <c r="E13" s="3">
        <f t="shared" si="1"/>
        <v>7.778174593052029E-3</v>
      </c>
      <c r="F13" s="6">
        <f>Metingen!E13/(Metingen!C13*10^(-3))</f>
        <v>16.614785992217897</v>
      </c>
      <c r="G13">
        <f>Metingen!E13</f>
        <v>1.2809999999999999</v>
      </c>
      <c r="H13">
        <f t="shared" si="2"/>
        <v>4.2935206869633138E-3</v>
      </c>
      <c r="I13">
        <f t="shared" si="3"/>
        <v>0.24600061461510778</v>
      </c>
      <c r="J13">
        <v>200</v>
      </c>
      <c r="K13">
        <v>1</v>
      </c>
      <c r="L13">
        <f t="shared" si="4"/>
        <v>0.808892673035565</v>
      </c>
      <c r="M13">
        <v>0.161778534607113</v>
      </c>
      <c r="N13">
        <f t="shared" si="5"/>
        <v>1.6177853460711301E-4</v>
      </c>
      <c r="O13">
        <f t="shared" si="6"/>
        <v>26.539495473799018</v>
      </c>
      <c r="P13">
        <f t="shared" si="7"/>
        <v>1520.601081055235</v>
      </c>
    </row>
    <row r="14" spans="1:16" x14ac:dyDescent="0.2">
      <c r="B14">
        <v>3</v>
      </c>
      <c r="C14">
        <f>Metingen!E14-Metingen!F14</f>
        <v>2.2999999999999909E-2</v>
      </c>
      <c r="D14">
        <f t="shared" si="0"/>
        <v>1.1499999999999955E-2</v>
      </c>
      <c r="E14" s="3">
        <f t="shared" si="1"/>
        <v>8.1317279836452643E-3</v>
      </c>
      <c r="F14" s="6">
        <f>Metingen!E14/(Metingen!C14*10^(-3))</f>
        <v>16.64072632944228</v>
      </c>
      <c r="G14">
        <f>Metingen!E14</f>
        <v>1.2829999999999999</v>
      </c>
      <c r="H14">
        <f t="shared" si="2"/>
        <v>4.4816835541698968E-3</v>
      </c>
      <c r="I14">
        <f t="shared" si="3"/>
        <v>0.25678155276712555</v>
      </c>
      <c r="J14">
        <v>200</v>
      </c>
      <c r="K14">
        <v>1</v>
      </c>
      <c r="L14">
        <f t="shared" si="4"/>
        <v>0.808892673035565</v>
      </c>
      <c r="M14">
        <v>0.161778534607113</v>
      </c>
      <c r="N14">
        <f t="shared" si="5"/>
        <v>1.6177853460711301E-4</v>
      </c>
      <c r="O14">
        <f t="shared" si="6"/>
        <v>27.70258467882579</v>
      </c>
      <c r="P14">
        <f t="shared" si="7"/>
        <v>1587.241183700495</v>
      </c>
    </row>
    <row r="15" spans="1:16" x14ac:dyDescent="0.2">
      <c r="B15">
        <v>4</v>
      </c>
      <c r="C15">
        <f>Metingen!E15-Metingen!F15</f>
        <v>2.8999999999999915E-2</v>
      </c>
      <c r="D15">
        <f t="shared" si="0"/>
        <v>1.4499999999999957E-2</v>
      </c>
      <c r="E15" s="3">
        <f t="shared" si="1"/>
        <v>1.0253048327204908E-2</v>
      </c>
      <c r="F15" s="6">
        <f>Metingen!E15/(Metingen!C15*10^(-3))</f>
        <v>16.579634464751958</v>
      </c>
      <c r="G15">
        <f>Metingen!E15</f>
        <v>1.27</v>
      </c>
      <c r="H15">
        <f t="shared" si="2"/>
        <v>5.7086614173228181E-3</v>
      </c>
      <c r="I15">
        <f t="shared" si="3"/>
        <v>0.32708220588176823</v>
      </c>
      <c r="J15">
        <v>200</v>
      </c>
      <c r="K15">
        <v>1</v>
      </c>
      <c r="L15">
        <f t="shared" si="4"/>
        <v>0.808892673035565</v>
      </c>
      <c r="M15">
        <v>0.161778534607113</v>
      </c>
      <c r="N15">
        <f t="shared" si="5"/>
        <v>1.6177853460711301E-4</v>
      </c>
      <c r="O15">
        <f t="shared" si="6"/>
        <v>35.286890384973375</v>
      </c>
      <c r="P15">
        <f t="shared" si="7"/>
        <v>2021.789891199739</v>
      </c>
    </row>
    <row r="16" spans="1:16" x14ac:dyDescent="0.2">
      <c r="B16">
        <v>5</v>
      </c>
      <c r="C16">
        <f>Metingen!E16-Metingen!F16</f>
        <v>1.9000000000000128E-2</v>
      </c>
      <c r="D16">
        <f t="shared" si="0"/>
        <v>9.5000000000000639E-3</v>
      </c>
      <c r="E16" s="3">
        <f t="shared" si="1"/>
        <v>6.7175144212722462E-3</v>
      </c>
      <c r="F16" s="6">
        <f>Metingen!E16/(Metingen!C16*10^(-3))</f>
        <v>37.068965517241381</v>
      </c>
      <c r="G16">
        <f>Metingen!E16</f>
        <v>1.29</v>
      </c>
      <c r="H16">
        <f t="shared" si="2"/>
        <v>3.6821705426356836E-3</v>
      </c>
      <c r="I16">
        <f t="shared" si="3"/>
        <v>0.21097283154042085</v>
      </c>
      <c r="J16">
        <v>200</v>
      </c>
      <c r="K16">
        <v>1</v>
      </c>
      <c r="L16">
        <f t="shared" si="4"/>
        <v>0.808892673035565</v>
      </c>
      <c r="M16">
        <v>0.161778534607113</v>
      </c>
      <c r="N16">
        <f t="shared" si="5"/>
        <v>1.6177853460711301E-4</v>
      </c>
      <c r="O16">
        <f t="shared" si="6"/>
        <v>22.760563084453775</v>
      </c>
      <c r="P16">
        <f t="shared" si="7"/>
        <v>1304.0842040804646</v>
      </c>
    </row>
    <row r="17" spans="1:16" x14ac:dyDescent="0.2">
      <c r="A17" t="s">
        <v>19</v>
      </c>
      <c r="B17">
        <v>1</v>
      </c>
      <c r="C17">
        <f>Metingen!E17-Metingen!F17</f>
        <v>1.6000000000000014E-2</v>
      </c>
      <c r="D17">
        <f t="shared" si="0"/>
        <v>8.0000000000000071E-3</v>
      </c>
      <c r="E17" s="3">
        <f t="shared" si="1"/>
        <v>5.6568542494923844E-3</v>
      </c>
      <c r="F17" s="6">
        <f>Metingen!E17/(Metingen!C17*10^(-3))</f>
        <v>25.279999999999998</v>
      </c>
      <c r="G17">
        <f>Metingen!E17</f>
        <v>1.264</v>
      </c>
      <c r="H17">
        <f t="shared" si="2"/>
        <v>3.1645569620253194E-3</v>
      </c>
      <c r="I17">
        <f t="shared" si="3"/>
        <v>0.18131575795279234</v>
      </c>
      <c r="J17">
        <v>200</v>
      </c>
      <c r="K17">
        <v>1</v>
      </c>
      <c r="L17">
        <f t="shared" si="4"/>
        <v>0.808892673035565</v>
      </c>
      <c r="M17">
        <v>0.161778534607113</v>
      </c>
      <c r="N17">
        <f t="shared" si="5"/>
        <v>1.6177853460711301E-4</v>
      </c>
      <c r="O17">
        <f t="shared" si="6"/>
        <v>19.561043556925515</v>
      </c>
      <c r="P17">
        <f t="shared" si="7"/>
        <v>1120.765238683404</v>
      </c>
    </row>
    <row r="18" spans="1:16" x14ac:dyDescent="0.2">
      <c r="B18">
        <v>2</v>
      </c>
      <c r="C18">
        <f>Metingen!E18-Metingen!F18</f>
        <v>1.8000000000000016E-2</v>
      </c>
      <c r="D18">
        <f t="shared" si="0"/>
        <v>9.000000000000008E-3</v>
      </c>
      <c r="E18" s="3">
        <f t="shared" si="1"/>
        <v>6.3639610306789329E-3</v>
      </c>
      <c r="F18" s="6">
        <f>Metingen!E18/(Metingen!C18*10^(-3))</f>
        <v>25.568862275449096</v>
      </c>
      <c r="G18">
        <f>Metingen!E18</f>
        <v>1.2809999999999999</v>
      </c>
      <c r="H18">
        <f t="shared" si="2"/>
        <v>3.5128805620608934E-3</v>
      </c>
      <c r="I18">
        <f t="shared" si="3"/>
        <v>0.20127323013963366</v>
      </c>
      <c r="J18">
        <v>200</v>
      </c>
      <c r="K18">
        <v>1</v>
      </c>
      <c r="L18">
        <f t="shared" si="4"/>
        <v>0.808892673035565</v>
      </c>
      <c r="M18">
        <v>0.161778534607113</v>
      </c>
      <c r="N18">
        <f t="shared" si="5"/>
        <v>1.6177853460711301E-4</v>
      </c>
      <c r="O18">
        <f t="shared" si="6"/>
        <v>21.714132660381019</v>
      </c>
      <c r="P18">
        <f t="shared" si="7"/>
        <v>1244.1281572270107</v>
      </c>
    </row>
    <row r="19" spans="1:16" x14ac:dyDescent="0.2">
      <c r="B19">
        <v>3</v>
      </c>
      <c r="C19">
        <f>Metingen!E19-Metingen!F19</f>
        <v>1.9000000000000128E-2</v>
      </c>
      <c r="D19">
        <f t="shared" si="0"/>
        <v>9.5000000000000639E-3</v>
      </c>
      <c r="E19" s="3">
        <f t="shared" si="1"/>
        <v>6.7175144212722462E-3</v>
      </c>
      <c r="F19" s="6">
        <f>Metingen!E19/(Metingen!C19*10^(-3))</f>
        <v>25.64</v>
      </c>
      <c r="G19">
        <f>Metingen!E19</f>
        <v>1.282</v>
      </c>
      <c r="H19">
        <f t="shared" si="2"/>
        <v>3.705148205928262E-3</v>
      </c>
      <c r="I19">
        <f t="shared" si="3"/>
        <v>0.21228935467015825</v>
      </c>
      <c r="J19">
        <v>200</v>
      </c>
      <c r="K19">
        <v>1</v>
      </c>
      <c r="L19">
        <f t="shared" si="4"/>
        <v>0.808892673035565</v>
      </c>
      <c r="M19">
        <v>0.161778534607113</v>
      </c>
      <c r="N19">
        <f t="shared" si="5"/>
        <v>1.6177853460711301E-4</v>
      </c>
      <c r="O19">
        <f t="shared" si="6"/>
        <v>22.902594679364562</v>
      </c>
      <c r="P19">
        <f t="shared" si="7"/>
        <v>1312.2220150263643</v>
      </c>
    </row>
    <row r="20" spans="1:16" x14ac:dyDescent="0.2">
      <c r="B20">
        <v>4</v>
      </c>
      <c r="C20">
        <f>Metingen!E20-Metingen!F20</f>
        <v>1.9000000000000128E-2</v>
      </c>
      <c r="D20">
        <f t="shared" si="0"/>
        <v>9.5000000000000639E-3</v>
      </c>
      <c r="E20" s="3">
        <f t="shared" si="1"/>
        <v>6.7175144212722462E-3</v>
      </c>
      <c r="F20" s="6">
        <f>Metingen!E20/(Metingen!C20*10^(-3))</f>
        <v>25.72</v>
      </c>
      <c r="G20">
        <f>Metingen!E20</f>
        <v>1.286</v>
      </c>
      <c r="H20">
        <f t="shared" si="2"/>
        <v>3.6936236391913158E-3</v>
      </c>
      <c r="I20">
        <f t="shared" si="3"/>
        <v>0.21162904563541438</v>
      </c>
      <c r="J20">
        <v>200</v>
      </c>
      <c r="K20">
        <v>1</v>
      </c>
      <c r="L20">
        <f t="shared" si="4"/>
        <v>0.808892673035565</v>
      </c>
      <c r="M20">
        <v>0.161778534607113</v>
      </c>
      <c r="N20">
        <f t="shared" si="5"/>
        <v>1.6177853460711301E-4</v>
      </c>
      <c r="O20">
        <f t="shared" si="6"/>
        <v>22.831357992959074</v>
      </c>
      <c r="P20">
        <f t="shared" si="7"/>
        <v>1308.140453548833</v>
      </c>
    </row>
    <row r="21" spans="1:16" x14ac:dyDescent="0.2">
      <c r="B21">
        <v>5</v>
      </c>
      <c r="C21">
        <f>Metingen!E21-Metingen!F21</f>
        <v>1.3000000000000123E-2</v>
      </c>
      <c r="D21">
        <f t="shared" si="0"/>
        <v>6.5000000000000613E-3</v>
      </c>
      <c r="E21" s="3">
        <f t="shared" si="1"/>
        <v>4.5961940777126016E-3</v>
      </c>
      <c r="F21" s="6">
        <f>Metingen!E21/(Metingen!C21*10^(-3))</f>
        <v>49.042145593869726</v>
      </c>
      <c r="G21">
        <f>Metingen!E21</f>
        <v>1.28</v>
      </c>
      <c r="H21">
        <f t="shared" si="2"/>
        <v>2.5390625000000239E-3</v>
      </c>
      <c r="I21">
        <f t="shared" si="3"/>
        <v>0.14547756516993696</v>
      </c>
      <c r="J21">
        <v>200</v>
      </c>
      <c r="K21">
        <v>1</v>
      </c>
      <c r="L21">
        <f t="shared" si="4"/>
        <v>0.808892673035565</v>
      </c>
      <c r="M21">
        <v>0.161778534607113</v>
      </c>
      <c r="N21">
        <f t="shared" si="5"/>
        <v>1.6177853460711301E-4</v>
      </c>
      <c r="O21">
        <f t="shared" si="6"/>
        <v>15.694681041377089</v>
      </c>
      <c r="P21">
        <f t="shared" si="7"/>
        <v>899.23898447489501</v>
      </c>
    </row>
    <row r="22" spans="1:16" x14ac:dyDescent="0.2">
      <c r="A22" t="s">
        <v>20</v>
      </c>
      <c r="B22">
        <v>1</v>
      </c>
      <c r="C22">
        <f>Metingen!E22-Metingen!F22</f>
        <v>1.1999999999999789E-2</v>
      </c>
      <c r="D22">
        <f t="shared" si="0"/>
        <v>5.9999999999998943E-3</v>
      </c>
      <c r="E22" s="3">
        <f t="shared" si="1"/>
        <v>4.2426406871192103E-3</v>
      </c>
      <c r="F22" s="6">
        <f>Metingen!E22/(Metingen!C22*10^(-3))</f>
        <v>41.213114754098356</v>
      </c>
      <c r="G22">
        <f>Metingen!E22</f>
        <v>1.2569999999999999</v>
      </c>
      <c r="H22">
        <f t="shared" si="2"/>
        <v>2.3866348448686931E-3</v>
      </c>
      <c r="I22">
        <f t="shared" si="3"/>
        <v>0.1367441038498361</v>
      </c>
      <c r="J22">
        <v>200</v>
      </c>
      <c r="K22">
        <v>1</v>
      </c>
      <c r="L22">
        <f t="shared" si="4"/>
        <v>0.808892673035565</v>
      </c>
      <c r="M22">
        <v>0.161778534607113</v>
      </c>
      <c r="N22">
        <f t="shared" si="5"/>
        <v>1.6177853460711301E-4</v>
      </c>
      <c r="O22">
        <f t="shared" si="6"/>
        <v>14.752481536965032</v>
      </c>
      <c r="P22">
        <f t="shared" si="7"/>
        <v>845.25492941276639</v>
      </c>
    </row>
    <row r="23" spans="1:16" x14ac:dyDescent="0.2">
      <c r="B23">
        <v>2</v>
      </c>
      <c r="C23">
        <f>Metingen!E23-Metingen!F23</f>
        <v>1.3000000000000123E-2</v>
      </c>
      <c r="D23">
        <f t="shared" si="0"/>
        <v>6.5000000000000613E-3</v>
      </c>
      <c r="E23" s="3">
        <f t="shared" si="1"/>
        <v>4.5961940777126016E-3</v>
      </c>
      <c r="F23" s="6">
        <f>Metingen!E23/(Metingen!C23*10^(-3))</f>
        <v>41.78217821782178</v>
      </c>
      <c r="G23">
        <f>Metingen!E23</f>
        <v>1.266</v>
      </c>
      <c r="H23">
        <f t="shared" si="2"/>
        <v>2.56714060031598E-3</v>
      </c>
      <c r="I23">
        <f t="shared" si="3"/>
        <v>0.14708632181478618</v>
      </c>
      <c r="J23">
        <v>200</v>
      </c>
      <c r="K23">
        <v>1</v>
      </c>
      <c r="L23">
        <f t="shared" si="4"/>
        <v>0.808892673035565</v>
      </c>
      <c r="M23">
        <v>0.161778534607113</v>
      </c>
      <c r="N23">
        <f t="shared" si="5"/>
        <v>1.6177853460711301E-4</v>
      </c>
      <c r="O23">
        <f t="shared" si="6"/>
        <v>15.868239915452349</v>
      </c>
      <c r="P23">
        <f t="shared" si="7"/>
        <v>909.18317545644993</v>
      </c>
    </row>
    <row r="24" spans="1:16" x14ac:dyDescent="0.2">
      <c r="B24">
        <v>3</v>
      </c>
      <c r="C24">
        <f>Metingen!E24-Metingen!F24</f>
        <v>1.0999999999999899E-2</v>
      </c>
      <c r="D24">
        <f t="shared" si="0"/>
        <v>5.4999999999999494E-3</v>
      </c>
      <c r="E24" s="3">
        <f t="shared" si="1"/>
        <v>3.8890872965259751E-3</v>
      </c>
      <c r="F24" s="6">
        <f>Metingen!E24/(Metingen!C24*10^(-3))</f>
        <v>42.699999999999996</v>
      </c>
      <c r="G24">
        <f>Metingen!E24</f>
        <v>1.2809999999999999</v>
      </c>
      <c r="H24">
        <f t="shared" si="2"/>
        <v>2.1467603434816352E-3</v>
      </c>
      <c r="I24">
        <f t="shared" si="3"/>
        <v>0.12300030730755264</v>
      </c>
      <c r="J24">
        <v>200</v>
      </c>
      <c r="K24">
        <v>1</v>
      </c>
      <c r="L24">
        <f t="shared" si="4"/>
        <v>0.808892673035565</v>
      </c>
      <c r="M24">
        <v>0.161778534607113</v>
      </c>
      <c r="N24">
        <f t="shared" si="5"/>
        <v>1.6177853460711301E-4</v>
      </c>
      <c r="O24">
        <f t="shared" si="6"/>
        <v>13.269747736899376</v>
      </c>
      <c r="P24">
        <f t="shared" si="7"/>
        <v>760.30054052760977</v>
      </c>
    </row>
    <row r="25" spans="1:16" x14ac:dyDescent="0.2">
      <c r="B25">
        <v>4</v>
      </c>
      <c r="C25">
        <f>Metingen!E25-Metingen!F25</f>
        <v>1.2000000000000011E-2</v>
      </c>
      <c r="D25">
        <f t="shared" si="0"/>
        <v>6.0000000000000053E-3</v>
      </c>
      <c r="E25" s="3">
        <f t="shared" si="1"/>
        <v>4.2426406871192883E-3</v>
      </c>
      <c r="F25" s="6">
        <f>Metingen!E25/(Metingen!C25*10^(-3))</f>
        <v>42.400000000000006</v>
      </c>
      <c r="G25">
        <f>Metingen!E25</f>
        <v>1.272</v>
      </c>
      <c r="H25">
        <f t="shared" si="2"/>
        <v>2.3584905660377379E-3</v>
      </c>
      <c r="I25">
        <f t="shared" si="3"/>
        <v>0.13513155545538297</v>
      </c>
      <c r="J25">
        <v>200</v>
      </c>
      <c r="K25">
        <v>1</v>
      </c>
      <c r="L25">
        <f t="shared" si="4"/>
        <v>0.808892673035565</v>
      </c>
      <c r="M25">
        <v>0.161778534607113</v>
      </c>
      <c r="N25">
        <f t="shared" si="5"/>
        <v>1.6177853460711301E-4</v>
      </c>
      <c r="O25">
        <f t="shared" si="6"/>
        <v>14.578513594312412</v>
      </c>
      <c r="P25">
        <f t="shared" si="7"/>
        <v>835.28730052819731</v>
      </c>
    </row>
    <row r="26" spans="1:16" x14ac:dyDescent="0.2">
      <c r="B26">
        <v>5</v>
      </c>
      <c r="C26">
        <f>Metingen!E26-Metingen!F26</f>
        <v>1.0999999999999899E-2</v>
      </c>
      <c r="D26">
        <f t="shared" si="0"/>
        <v>5.4999999999999494E-3</v>
      </c>
      <c r="E26" s="4">
        <f t="shared" si="1"/>
        <v>3.8890872965259751E-3</v>
      </c>
      <c r="F26" s="6">
        <f>Metingen!E26/(Metingen!C26*10^(-3))</f>
        <v>62.749999999999993</v>
      </c>
      <c r="G26">
        <f>Metingen!E26</f>
        <v>1.2549999999999999</v>
      </c>
      <c r="H26">
        <f t="shared" si="2"/>
        <v>2.1912350597609364E-3</v>
      </c>
      <c r="I26">
        <f t="shared" si="3"/>
        <v>0.12554852084539839</v>
      </c>
      <c r="J26">
        <v>200</v>
      </c>
      <c r="K26">
        <v>1</v>
      </c>
      <c r="L26">
        <f t="shared" si="4"/>
        <v>0.808892673035565</v>
      </c>
      <c r="M26">
        <v>0.161778534607113</v>
      </c>
      <c r="N26">
        <f t="shared" si="5"/>
        <v>1.6177853460711301E-4</v>
      </c>
      <c r="O26">
        <f t="shared" si="6"/>
        <v>13.544658845392911</v>
      </c>
      <c r="P26">
        <f t="shared" si="7"/>
        <v>776.05178678555251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Kalibratie</vt:lpstr>
      <vt:lpstr>Metingen</vt:lpstr>
      <vt:lpstr>Verwerking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Tristan Cools</cp:lastModifiedBy>
  <dcterms:created xsi:type="dcterms:W3CDTF">2026-03-16T22:23:51Z</dcterms:created>
  <dcterms:modified xsi:type="dcterms:W3CDTF">2026-03-24T15:30:10Z</dcterms:modified>
</cp:coreProperties>
</file>