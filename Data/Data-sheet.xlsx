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tristancools/Documents/Arduino/Project-experimenteren2/Data/"/>
    </mc:Choice>
  </mc:AlternateContent>
  <xr:revisionPtr revIDLastSave="0" documentId="8_{8D504D27-61F0-5A4F-A6EB-ABD0E63ADA92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Kalibratie" sheetId="1" r:id="rId1"/>
    <sheet name="Metingen" sheetId="2" r:id="rId2"/>
    <sheet name="Verwerking" sheetId="3" r:id="rId3"/>
    <sheet name="Verwerking_2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N26" i="4"/>
  <c r="F26" i="4"/>
  <c r="G26" i="4" s="1"/>
  <c r="D26" i="4"/>
  <c r="H26" i="4" s="1"/>
  <c r="N25" i="4"/>
  <c r="F25" i="4"/>
  <c r="J25" i="4" s="1"/>
  <c r="D25" i="4"/>
  <c r="E25" i="4" s="1"/>
  <c r="N24" i="4"/>
  <c r="H24" i="4"/>
  <c r="L24" i="4" s="1"/>
  <c r="Q24" i="4" s="1"/>
  <c r="F24" i="4"/>
  <c r="J24" i="4" s="1"/>
  <c r="D24" i="4"/>
  <c r="E24" i="4" s="1"/>
  <c r="N23" i="4"/>
  <c r="F23" i="4"/>
  <c r="G23" i="4" s="1"/>
  <c r="E23" i="4"/>
  <c r="D23" i="4"/>
  <c r="H23" i="4" s="1"/>
  <c r="N22" i="4"/>
  <c r="F22" i="4"/>
  <c r="G22" i="4" s="1"/>
  <c r="D22" i="4"/>
  <c r="E22" i="4" s="1"/>
  <c r="A22" i="4"/>
  <c r="N21" i="4"/>
  <c r="F21" i="4"/>
  <c r="D21" i="4"/>
  <c r="E21" i="4" s="1"/>
  <c r="N20" i="4"/>
  <c r="F20" i="4"/>
  <c r="D20" i="4"/>
  <c r="H20" i="4" s="1"/>
  <c r="N19" i="4"/>
  <c r="F19" i="4"/>
  <c r="G19" i="4" s="1"/>
  <c r="D19" i="4"/>
  <c r="E19" i="4" s="1"/>
  <c r="N18" i="4"/>
  <c r="G18" i="4"/>
  <c r="F18" i="4"/>
  <c r="J18" i="4" s="1"/>
  <c r="D18" i="4"/>
  <c r="E18" i="4" s="1"/>
  <c r="N17" i="4"/>
  <c r="F17" i="4"/>
  <c r="G17" i="4" s="1"/>
  <c r="D17" i="4"/>
  <c r="H17" i="4" s="1"/>
  <c r="O16" i="4"/>
  <c r="N16" i="4"/>
  <c r="H16" i="4"/>
  <c r="F16" i="4"/>
  <c r="J16" i="4" s="1"/>
  <c r="E16" i="4"/>
  <c r="I16" i="4" s="1"/>
  <c r="D16" i="4"/>
  <c r="A16" i="4"/>
  <c r="O23" i="4" s="1"/>
  <c r="N15" i="4"/>
  <c r="O15" i="4" s="1"/>
  <c r="G15" i="4"/>
  <c r="K15" i="4" s="1"/>
  <c r="F15" i="4"/>
  <c r="J15" i="4" s="1"/>
  <c r="D15" i="4"/>
  <c r="H15" i="4" s="1"/>
  <c r="L15" i="4" s="1"/>
  <c r="Q15" i="4" s="1"/>
  <c r="N14" i="4"/>
  <c r="F14" i="4"/>
  <c r="G14" i="4" s="1"/>
  <c r="D14" i="4"/>
  <c r="H14" i="4" s="1"/>
  <c r="N13" i="4"/>
  <c r="J13" i="4"/>
  <c r="H13" i="4"/>
  <c r="F13" i="4"/>
  <c r="G13" i="4" s="1"/>
  <c r="E13" i="4"/>
  <c r="I13" i="4" s="1"/>
  <c r="D13" i="4"/>
  <c r="N12" i="4"/>
  <c r="O12" i="4" s="1"/>
  <c r="G12" i="4"/>
  <c r="K12" i="4" s="1"/>
  <c r="F12" i="4"/>
  <c r="J12" i="4" s="1"/>
  <c r="D12" i="4"/>
  <c r="H12" i="4" s="1"/>
  <c r="N11" i="4"/>
  <c r="J11" i="4"/>
  <c r="F11" i="4"/>
  <c r="G11" i="4" s="1"/>
  <c r="K11" i="4" s="1"/>
  <c r="D11" i="4"/>
  <c r="N10" i="4"/>
  <c r="F10" i="4"/>
  <c r="J10" i="4" s="1"/>
  <c r="D10" i="4"/>
  <c r="E10" i="4" s="1"/>
  <c r="N9" i="4"/>
  <c r="F9" i="4"/>
  <c r="E9" i="4"/>
  <c r="I9" i="4" s="1"/>
  <c r="D9" i="4"/>
  <c r="H9" i="4" s="1"/>
  <c r="N8" i="4"/>
  <c r="H8" i="4"/>
  <c r="F8" i="4"/>
  <c r="G8" i="4" s="1"/>
  <c r="D8" i="4"/>
  <c r="E8" i="4" s="1"/>
  <c r="N7" i="4"/>
  <c r="O7" i="4" s="1"/>
  <c r="F7" i="4"/>
  <c r="J7" i="4" s="1"/>
  <c r="D7" i="4"/>
  <c r="E7" i="4" s="1"/>
  <c r="N6" i="4"/>
  <c r="F6" i="4"/>
  <c r="G6" i="4" s="1"/>
  <c r="D6" i="4"/>
  <c r="H6" i="4" s="1"/>
  <c r="N5" i="4"/>
  <c r="O5" i="4" s="1"/>
  <c r="H5" i="4"/>
  <c r="F5" i="4"/>
  <c r="J5" i="4" s="1"/>
  <c r="D5" i="4"/>
  <c r="E5" i="4" s="1"/>
  <c r="I5" i="4" s="1"/>
  <c r="N4" i="4"/>
  <c r="O4" i="4" s="1"/>
  <c r="F4" i="4"/>
  <c r="J4" i="4" s="1"/>
  <c r="D4" i="4"/>
  <c r="H4" i="4" s="1"/>
  <c r="L4" i="4" s="1"/>
  <c r="N3" i="4"/>
  <c r="F3" i="4"/>
  <c r="G3" i="4" s="1"/>
  <c r="D3" i="4"/>
  <c r="N2" i="4"/>
  <c r="F2" i="4"/>
  <c r="J2" i="4" s="1"/>
  <c r="D2" i="4"/>
  <c r="E2" i="4" s="1"/>
  <c r="I26" i="3"/>
  <c r="J26" i="3" s="1"/>
  <c r="K26" i="3" s="1"/>
  <c r="F26" i="3"/>
  <c r="D26" i="3"/>
  <c r="E26" i="3" s="1"/>
  <c r="G26" i="3" s="1"/>
  <c r="K25" i="3"/>
  <c r="J25" i="3"/>
  <c r="I25" i="3"/>
  <c r="F25" i="3"/>
  <c r="D25" i="3"/>
  <c r="E25" i="3" s="1"/>
  <c r="G25" i="3" s="1"/>
  <c r="I24" i="3"/>
  <c r="F24" i="3"/>
  <c r="D24" i="3"/>
  <c r="E24" i="3" s="1"/>
  <c r="G24" i="3" s="1"/>
  <c r="I23" i="3"/>
  <c r="F23" i="3"/>
  <c r="G23" i="3" s="1"/>
  <c r="E23" i="3"/>
  <c r="D23" i="3"/>
  <c r="I22" i="3"/>
  <c r="J22" i="3" s="1"/>
  <c r="K22" i="3" s="1"/>
  <c r="F22" i="3"/>
  <c r="D22" i="3"/>
  <c r="E22" i="3" s="1"/>
  <c r="G22" i="3" s="1"/>
  <c r="A22" i="3"/>
  <c r="I21" i="3"/>
  <c r="F21" i="3"/>
  <c r="D21" i="3"/>
  <c r="E21" i="3" s="1"/>
  <c r="G21" i="3" s="1"/>
  <c r="I20" i="3"/>
  <c r="F20" i="3"/>
  <c r="E20" i="3"/>
  <c r="G20" i="3" s="1"/>
  <c r="D20" i="3"/>
  <c r="J19" i="3"/>
  <c r="K19" i="3" s="1"/>
  <c r="I19" i="3"/>
  <c r="F19" i="3"/>
  <c r="D19" i="3"/>
  <c r="E19" i="3" s="1"/>
  <c r="G19" i="3" s="1"/>
  <c r="J18" i="3"/>
  <c r="K18" i="3" s="1"/>
  <c r="L18" i="3" s="1"/>
  <c r="M18" i="3" s="1"/>
  <c r="I18" i="3"/>
  <c r="F18" i="3"/>
  <c r="D18" i="3"/>
  <c r="E18" i="3" s="1"/>
  <c r="G18" i="3" s="1"/>
  <c r="H18" i="3" s="1"/>
  <c r="I17" i="3"/>
  <c r="F17" i="3"/>
  <c r="E17" i="3"/>
  <c r="D17" i="3"/>
  <c r="I16" i="3"/>
  <c r="F16" i="3"/>
  <c r="E16" i="3"/>
  <c r="G16" i="3" s="1"/>
  <c r="D16" i="3"/>
  <c r="A16" i="3"/>
  <c r="J21" i="3" s="1"/>
  <c r="K21" i="3" s="1"/>
  <c r="I15" i="3"/>
  <c r="J15" i="3" s="1"/>
  <c r="K15" i="3" s="1"/>
  <c r="F15" i="3"/>
  <c r="D15" i="3"/>
  <c r="E15" i="3" s="1"/>
  <c r="G15" i="3" s="1"/>
  <c r="K14" i="3"/>
  <c r="J14" i="3"/>
  <c r="I14" i="3"/>
  <c r="F14" i="3"/>
  <c r="D14" i="3"/>
  <c r="E14" i="3" s="1"/>
  <c r="G14" i="3" s="1"/>
  <c r="I13" i="3"/>
  <c r="F13" i="3"/>
  <c r="D13" i="3"/>
  <c r="E13" i="3" s="1"/>
  <c r="G13" i="3" s="1"/>
  <c r="I12" i="3"/>
  <c r="H12" i="3"/>
  <c r="G12" i="3"/>
  <c r="F12" i="3"/>
  <c r="D12" i="3"/>
  <c r="E12" i="3" s="1"/>
  <c r="I11" i="3"/>
  <c r="J11" i="3" s="1"/>
  <c r="K11" i="3" s="1"/>
  <c r="H11" i="3"/>
  <c r="F11" i="3"/>
  <c r="D11" i="3"/>
  <c r="E11" i="3" s="1"/>
  <c r="G11" i="3" s="1"/>
  <c r="L11" i="3" s="1"/>
  <c r="M11" i="3" s="1"/>
  <c r="J10" i="3"/>
  <c r="K10" i="3" s="1"/>
  <c r="I10" i="3"/>
  <c r="F10" i="3"/>
  <c r="E10" i="3"/>
  <c r="D10" i="3"/>
  <c r="I9" i="3"/>
  <c r="G9" i="3"/>
  <c r="H9" i="3" s="1"/>
  <c r="F9" i="3"/>
  <c r="E9" i="3"/>
  <c r="D9" i="3"/>
  <c r="I8" i="3"/>
  <c r="J8" i="3" s="1"/>
  <c r="K8" i="3" s="1"/>
  <c r="F8" i="3"/>
  <c r="G8" i="3" s="1"/>
  <c r="D8" i="3"/>
  <c r="E8" i="3" s="1"/>
  <c r="I7" i="3"/>
  <c r="J7" i="3" s="1"/>
  <c r="K7" i="3" s="1"/>
  <c r="F7" i="3"/>
  <c r="D7" i="3"/>
  <c r="E7" i="3" s="1"/>
  <c r="G7" i="3" s="1"/>
  <c r="L7" i="3" s="1"/>
  <c r="M7" i="3" s="1"/>
  <c r="K6" i="3"/>
  <c r="J6" i="3"/>
  <c r="I6" i="3"/>
  <c r="F6" i="3"/>
  <c r="D6" i="3"/>
  <c r="E6" i="3" s="1"/>
  <c r="G6" i="3" s="1"/>
  <c r="I5" i="3"/>
  <c r="F5" i="3"/>
  <c r="D5" i="3"/>
  <c r="E5" i="3" s="1"/>
  <c r="G5" i="3" s="1"/>
  <c r="J4" i="3"/>
  <c r="K4" i="3" s="1"/>
  <c r="I4" i="3"/>
  <c r="F4" i="3"/>
  <c r="D4" i="3"/>
  <c r="E4" i="3" s="1"/>
  <c r="G4" i="3" s="1"/>
  <c r="K3" i="3"/>
  <c r="L3" i="3" s="1"/>
  <c r="M3" i="3" s="1"/>
  <c r="J3" i="3"/>
  <c r="I3" i="3"/>
  <c r="H3" i="3"/>
  <c r="F3" i="3"/>
  <c r="D3" i="3"/>
  <c r="E3" i="3" s="1"/>
  <c r="G3" i="3" s="1"/>
  <c r="K2" i="3"/>
  <c r="J2" i="3"/>
  <c r="I2" i="3"/>
  <c r="F2" i="3"/>
  <c r="D2" i="3"/>
  <c r="E2" i="3" s="1"/>
  <c r="G2" i="3" s="1"/>
  <c r="J3" i="4" l="1"/>
  <c r="K3" i="4" s="1"/>
  <c r="G7" i="4"/>
  <c r="K7" i="4" s="1"/>
  <c r="H10" i="4"/>
  <c r="L10" i="4" s="1"/>
  <c r="Q10" i="4" s="1"/>
  <c r="L12" i="4"/>
  <c r="Q12" i="4" s="1"/>
  <c r="J14" i="4"/>
  <c r="L14" i="4" s="1"/>
  <c r="Q14" i="4" s="1"/>
  <c r="J19" i="4"/>
  <c r="H21" i="4"/>
  <c r="I21" i="4" s="1"/>
  <c r="H7" i="4"/>
  <c r="I7" i="4" s="1"/>
  <c r="M7" i="4" s="1"/>
  <c r="H18" i="4"/>
  <c r="I18" i="4" s="1"/>
  <c r="Q4" i="4"/>
  <c r="E20" i="4"/>
  <c r="I20" i="4" s="1"/>
  <c r="H2" i="4"/>
  <c r="I2" i="4" s="1"/>
  <c r="E15" i="4"/>
  <c r="K17" i="4"/>
  <c r="O2" i="4"/>
  <c r="I8" i="4"/>
  <c r="M8" i="4" s="1"/>
  <c r="O13" i="4"/>
  <c r="G16" i="4"/>
  <c r="K16" i="4" s="1"/>
  <c r="J17" i="4"/>
  <c r="L17" i="4" s="1"/>
  <c r="Q17" i="4" s="1"/>
  <c r="O18" i="4"/>
  <c r="G5" i="4"/>
  <c r="L16" i="4"/>
  <c r="Q16" i="4" s="1"/>
  <c r="I19" i="4"/>
  <c r="M19" i="4" s="1"/>
  <c r="I24" i="4"/>
  <c r="J6" i="4"/>
  <c r="L6" i="4" s="1"/>
  <c r="Q6" i="4" s="1"/>
  <c r="E14" i="4"/>
  <c r="I14" i="4" s="1"/>
  <c r="K19" i="4"/>
  <c r="H22" i="4"/>
  <c r="L22" i="4" s="1"/>
  <c r="Q22" i="4" s="1"/>
  <c r="I10" i="4"/>
  <c r="M10" i="4" s="1"/>
  <c r="J8" i="4"/>
  <c r="K8" i="4" s="1"/>
  <c r="G10" i="4"/>
  <c r="K10" i="4" s="1"/>
  <c r="H19" i="4"/>
  <c r="L19" i="4" s="1"/>
  <c r="Q19" i="4" s="1"/>
  <c r="J22" i="4"/>
  <c r="K22" i="4" s="1"/>
  <c r="H16" i="3"/>
  <c r="H20" i="3"/>
  <c r="H25" i="3"/>
  <c r="L25" i="3"/>
  <c r="M25" i="3" s="1"/>
  <c r="H23" i="3"/>
  <c r="H2" i="3"/>
  <c r="L2" i="3"/>
  <c r="M2" i="3" s="1"/>
  <c r="H13" i="3"/>
  <c r="H21" i="3"/>
  <c r="L21" i="3"/>
  <c r="M21" i="3" s="1"/>
  <c r="H6" i="3"/>
  <c r="L6" i="3"/>
  <c r="M6" i="3" s="1"/>
  <c r="H5" i="3"/>
  <c r="L19" i="3"/>
  <c r="M19" i="3" s="1"/>
  <c r="H19" i="3"/>
  <c r="L4" i="3"/>
  <c r="M4" i="3" s="1"/>
  <c r="H4" i="3"/>
  <c r="L8" i="3"/>
  <c r="M8" i="3" s="1"/>
  <c r="H8" i="3"/>
  <c r="H14" i="3"/>
  <c r="L14" i="3"/>
  <c r="M14" i="3" s="1"/>
  <c r="H24" i="3"/>
  <c r="L22" i="3"/>
  <c r="M22" i="3" s="1"/>
  <c r="L15" i="3"/>
  <c r="M15" i="3" s="1"/>
  <c r="H3" i="4"/>
  <c r="L3" i="4" s="1"/>
  <c r="Q3" i="4" s="1"/>
  <c r="E3" i="4"/>
  <c r="O10" i="4"/>
  <c r="K14" i="4"/>
  <c r="M14" i="4" s="1"/>
  <c r="H15" i="3"/>
  <c r="H22" i="3"/>
  <c r="E4" i="4"/>
  <c r="I4" i="4" s="1"/>
  <c r="K18" i="4"/>
  <c r="I23" i="4"/>
  <c r="G20" i="4"/>
  <c r="J20" i="4"/>
  <c r="L20" i="4" s="1"/>
  <c r="Q20" i="4" s="1"/>
  <c r="H7" i="3"/>
  <c r="L26" i="3"/>
  <c r="M26" i="3" s="1"/>
  <c r="G2" i="4"/>
  <c r="K2" i="4" s="1"/>
  <c r="H11" i="4"/>
  <c r="L11" i="4" s="1"/>
  <c r="Q11" i="4" s="1"/>
  <c r="E11" i="4"/>
  <c r="L2" i="4"/>
  <c r="Q2" i="4" s="1"/>
  <c r="G4" i="4"/>
  <c r="K4" i="4" s="1"/>
  <c r="K5" i="4"/>
  <c r="E6" i="4"/>
  <c r="I6" i="4" s="1"/>
  <c r="E12" i="4"/>
  <c r="I12" i="4" s="1"/>
  <c r="M12" i="4" s="1"/>
  <c r="M16" i="4"/>
  <c r="H26" i="3"/>
  <c r="L5" i="4"/>
  <c r="Q5" i="4" s="1"/>
  <c r="G10" i="3"/>
  <c r="M5" i="4"/>
  <c r="J9" i="4"/>
  <c r="L9" i="4" s="1"/>
  <c r="Q9" i="4" s="1"/>
  <c r="G9" i="4"/>
  <c r="K9" i="4" s="1"/>
  <c r="M9" i="4" s="1"/>
  <c r="K13" i="4"/>
  <c r="M13" i="4" s="1"/>
  <c r="I15" i="4"/>
  <c r="M15" i="4" s="1"/>
  <c r="J21" i="4"/>
  <c r="L21" i="4" s="1"/>
  <c r="Q21" i="4" s="1"/>
  <c r="G21" i="4"/>
  <c r="K26" i="4"/>
  <c r="E17" i="4"/>
  <c r="I17" i="4" s="1"/>
  <c r="G17" i="3"/>
  <c r="L7" i="4"/>
  <c r="Q7" i="4" s="1"/>
  <c r="L13" i="4"/>
  <c r="Q13" i="4" s="1"/>
  <c r="J23" i="3"/>
  <c r="K23" i="3" s="1"/>
  <c r="L23" i="3" s="1"/>
  <c r="M23" i="3" s="1"/>
  <c r="O9" i="4"/>
  <c r="J16" i="3"/>
  <c r="K16" i="3" s="1"/>
  <c r="L16" i="3" s="1"/>
  <c r="M16" i="3" s="1"/>
  <c r="J20" i="3"/>
  <c r="K20" i="3" s="1"/>
  <c r="L20" i="3" s="1"/>
  <c r="M20" i="3" s="1"/>
  <c r="O6" i="4"/>
  <c r="O14" i="4"/>
  <c r="O17" i="4"/>
  <c r="J24" i="3"/>
  <c r="K24" i="3" s="1"/>
  <c r="L24" i="3" s="1"/>
  <c r="M24" i="3" s="1"/>
  <c r="O3" i="4"/>
  <c r="O11" i="4"/>
  <c r="G25" i="4"/>
  <c r="K25" i="4" s="1"/>
  <c r="O25" i="4"/>
  <c r="J26" i="4"/>
  <c r="L26" i="4" s="1"/>
  <c r="Q26" i="4" s="1"/>
  <c r="J12" i="3"/>
  <c r="K12" i="3" s="1"/>
  <c r="L12" i="3" s="1"/>
  <c r="M12" i="3" s="1"/>
  <c r="J5" i="3"/>
  <c r="K5" i="3" s="1"/>
  <c r="L5" i="3" s="1"/>
  <c r="M5" i="3" s="1"/>
  <c r="J9" i="3"/>
  <c r="K9" i="3" s="1"/>
  <c r="L9" i="3" s="1"/>
  <c r="M9" i="3" s="1"/>
  <c r="J13" i="3"/>
  <c r="K13" i="3" s="1"/>
  <c r="L13" i="3" s="1"/>
  <c r="M13" i="3" s="1"/>
  <c r="J17" i="3"/>
  <c r="K17" i="3" s="1"/>
  <c r="O8" i="4"/>
  <c r="O19" i="4"/>
  <c r="O22" i="4"/>
  <c r="J23" i="4"/>
  <c r="K23" i="4" s="1"/>
  <c r="H25" i="4"/>
  <c r="L25" i="4" s="1"/>
  <c r="Q25" i="4" s="1"/>
  <c r="O21" i="4"/>
  <c r="G24" i="4"/>
  <c r="K24" i="4" s="1"/>
  <c r="M24" i="4" s="1"/>
  <c r="O24" i="4"/>
  <c r="E26" i="4"/>
  <c r="I26" i="4" s="1"/>
  <c r="M26" i="4" s="1"/>
  <c r="O26" i="4"/>
  <c r="O20" i="4"/>
  <c r="L18" i="4" l="1"/>
  <c r="Q18" i="4" s="1"/>
  <c r="I22" i="4"/>
  <c r="M22" i="4" s="1"/>
  <c r="M18" i="4"/>
  <c r="K6" i="4"/>
  <c r="M6" i="4" s="1"/>
  <c r="K20" i="4"/>
  <c r="M20" i="4" s="1"/>
  <c r="M4" i="4"/>
  <c r="M2" i="4"/>
  <c r="M17" i="4"/>
  <c r="L8" i="4"/>
  <c r="Q8" i="4" s="1"/>
  <c r="L23" i="4"/>
  <c r="Q23" i="4" s="1"/>
  <c r="K21" i="4"/>
  <c r="M21" i="4" s="1"/>
  <c r="I11" i="4"/>
  <c r="M11" i="4" s="1"/>
  <c r="I25" i="4"/>
  <c r="M25" i="4" s="1"/>
  <c r="I3" i="4"/>
  <c r="M3" i="4" s="1"/>
  <c r="H10" i="3"/>
  <c r="L10" i="3"/>
  <c r="M10" i="3" s="1"/>
  <c r="M23" i="4"/>
  <c r="H17" i="3"/>
  <c r="L17" i="3"/>
  <c r="M17" i="3" s="1"/>
</calcChain>
</file>

<file path=xl/sharedStrings.xml><?xml version="1.0" encoding="utf-8"?>
<sst xmlns="http://schemas.openxmlformats.org/spreadsheetml/2006/main" count="75" uniqueCount="55">
  <si>
    <t>d(cm)</t>
  </si>
  <si>
    <t>Bx (µT)</t>
  </si>
  <si>
    <t>By (µT)</t>
  </si>
  <si>
    <t>Bz (µT)</t>
  </si>
  <si>
    <t>I (mA)</t>
  </si>
  <si>
    <t>U(V)</t>
  </si>
  <si>
    <t>Unnamed: 6</t>
  </si>
  <si>
    <t>B (magnitude) (µT)</t>
  </si>
  <si>
    <t>Metingnr</t>
  </si>
  <si>
    <t>Frequentie (Hz)</t>
  </si>
  <si>
    <t>Stroom (mA)</t>
  </si>
  <si>
    <t>V_AVG (V)</t>
  </si>
  <si>
    <t>V_MAX (V)</t>
  </si>
  <si>
    <t>V_MIN (V)</t>
  </si>
  <si>
    <t>V_AMPLIT (V)</t>
  </si>
  <si>
    <t>Constantes:</t>
  </si>
  <si>
    <t>Meting:</t>
  </si>
  <si>
    <t>Delta V_AC (V)</t>
  </si>
  <si>
    <r>
      <rPr>
        <sz val="11"/>
        <color theme="1"/>
        <rFont val="Calibri"/>
        <family val="2"/>
        <charset val="1"/>
      </rPr>
      <t xml:space="preserve">V_piek = (Delta V_AC)_rms </t>
    </r>
    <r>
      <rPr>
        <sz val="5"/>
        <color theme="1"/>
        <rFont val="Calibri (Body)"/>
        <charset val="1"/>
      </rPr>
      <t>want lockin meet rms</t>
    </r>
    <r>
      <rPr>
        <sz val="11"/>
        <color theme="1"/>
        <rFont val="Calibri"/>
        <family val="2"/>
        <charset val="1"/>
      </rPr>
      <t xml:space="preserve"> (V)</t>
    </r>
  </si>
  <si>
    <t>V_CD = V_AVG (V)</t>
  </si>
  <si>
    <r>
      <rPr>
        <sz val="11"/>
        <color theme="1"/>
        <rFont val="Calibri"/>
        <family val="2"/>
        <charset val="1"/>
      </rPr>
      <t>Draaihoek (radialen)</t>
    </r>
    <r>
      <rPr>
        <sz val="8"/>
        <color theme="1"/>
        <rFont val="Calibri (Body)"/>
        <charset val="1"/>
      </rPr>
      <t xml:space="preserve"> (=Delta(V_AC)/(2V_DC)) </t>
    </r>
  </si>
  <si>
    <r>
      <rPr>
        <sz val="11"/>
        <color theme="1"/>
        <rFont val="Calibri"/>
        <family val="2"/>
        <charset val="1"/>
      </rPr>
      <t>Draaihoek (graden)</t>
    </r>
    <r>
      <rPr>
        <sz val="8"/>
        <color theme="1"/>
        <rFont val="Calibri (Body)"/>
        <charset val="1"/>
      </rPr>
      <t xml:space="preserve"> (=Delta(V_AC)/(2V_DC)) </t>
    </r>
  </si>
  <si>
    <t>schalingsfactor: I/(I_ref)</t>
  </si>
  <si>
    <t>B_spoel (mT)</t>
  </si>
  <si>
    <t>B_spoel (T)</t>
  </si>
  <si>
    <t>Verdet-cste V (rad/Tm)</t>
  </si>
  <si>
    <t>Verdet (graden/(T*m))</t>
  </si>
  <si>
    <t>Set 1</t>
  </si>
  <si>
    <t>I_referentie (mA)</t>
  </si>
  <si>
    <t>lengte kwarts (mm)</t>
  </si>
  <si>
    <t>Set  2</t>
  </si>
  <si>
    <t>lengte kwarts (m)</t>
  </si>
  <si>
    <t>AF(lengte) (mm)</t>
  </si>
  <si>
    <t>Set 3</t>
  </si>
  <si>
    <t>B_referentie (mT) zie interpolatie python</t>
  </si>
  <si>
    <t>Set 4</t>
  </si>
  <si>
    <t>B_referentie door staaf  (T*mm)</t>
  </si>
  <si>
    <t>B_veld door staaf (T*m)</t>
  </si>
  <si>
    <t>Set 5</t>
  </si>
  <si>
    <t>Golflengte laser (nm)</t>
  </si>
  <si>
    <t>C² 1</t>
  </si>
  <si>
    <t>AF</t>
  </si>
  <si>
    <t>C²2</t>
  </si>
  <si>
    <t>theta1</t>
  </si>
  <si>
    <t>theta2</t>
  </si>
  <si>
    <t>dtheta</t>
  </si>
  <si>
    <t>Verdet (rad/(T * mm))</t>
  </si>
  <si>
    <t>AF voltages (gok)</t>
  </si>
  <si>
    <t>AF_Verdet</t>
  </si>
  <si>
    <t>AF_I</t>
  </si>
  <si>
    <t xml:space="preserve">AF_B </t>
  </si>
  <si>
    <t>AF_B (mt)</t>
  </si>
  <si>
    <t>RF_Verdet</t>
  </si>
  <si>
    <t>Foutpercentage</t>
  </si>
  <si>
    <t>AF (dtheta)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</si>
</sst>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5"/>
      <color theme="1"/>
      <name val="Calibri (Body)"/>
      <charset val="1"/>
    </font>
    <font>
      <sz val="8"/>
      <color theme="1"/>
      <name val="Calibri (Body)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left"/>
    </xf>
    <xf numFmtId="11" fontId="0" fillId="0" borderId="0" xfId="0" applyNumberFormat="1"/>
    <xf numFmtId="0" fontId="1" fillId="0" borderId="6" xfId="0" applyFont="1" applyFill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zoomScaleNormal="100" workbookViewId="0">
      <selection activeCell="K16" sqref="K16"/>
    </sheetView>
  </sheetViews>
  <sheetFormatPr baseColWidth="10" defaultColWidth="8.83203125" defaultRowHeight="15" x14ac:dyDescent="0.2"/>
  <cols>
    <col min="1" max="1" width="5.5" customWidth="1"/>
    <col min="2" max="4" width="6.5" customWidth="1"/>
    <col min="5" max="6" width="5.6640625" customWidth="1"/>
    <col min="7" max="7" width="4.5" customWidth="1"/>
    <col min="8" max="8" width="10.5" customWidth="1"/>
    <col min="9" max="9" width="15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</v>
      </c>
      <c r="H1" s="1" t="s">
        <v>6</v>
      </c>
      <c r="I1" s="1" t="s">
        <v>7</v>
      </c>
      <c r="J1" s="10" t="s">
        <v>50</v>
      </c>
    </row>
    <row r="2" spans="1:10" x14ac:dyDescent="0.2">
      <c r="A2">
        <v>0</v>
      </c>
      <c r="B2">
        <v>-30</v>
      </c>
      <c r="C2">
        <v>80</v>
      </c>
      <c r="D2">
        <v>58</v>
      </c>
      <c r="E2">
        <v>63.9</v>
      </c>
      <c r="F2">
        <v>0.1</v>
      </c>
      <c r="G2">
        <v>8</v>
      </c>
      <c r="I2">
        <v>103.266645147405</v>
      </c>
      <c r="J2">
        <v>1</v>
      </c>
    </row>
    <row r="3" spans="1:10" x14ac:dyDescent="0.2">
      <c r="A3">
        <v>0.5</v>
      </c>
      <c r="B3">
        <v>-35</v>
      </c>
      <c r="C3">
        <v>88</v>
      </c>
      <c r="D3">
        <v>55</v>
      </c>
      <c r="E3">
        <v>63.9</v>
      </c>
      <c r="F3">
        <v>0.1</v>
      </c>
      <c r="G3">
        <v>8</v>
      </c>
      <c r="I3">
        <v>109.517121949036</v>
      </c>
      <c r="J3">
        <v>1</v>
      </c>
    </row>
    <row r="4" spans="1:10" x14ac:dyDescent="0.2">
      <c r="A4">
        <v>1</v>
      </c>
      <c r="B4">
        <v>-33</v>
      </c>
      <c r="C4">
        <v>98</v>
      </c>
      <c r="D4">
        <v>58</v>
      </c>
      <c r="E4">
        <v>63.9</v>
      </c>
      <c r="F4">
        <v>0.1</v>
      </c>
      <c r="G4">
        <v>8</v>
      </c>
      <c r="I4">
        <v>118.562219952226</v>
      </c>
      <c r="J4">
        <v>1</v>
      </c>
    </row>
    <row r="5" spans="1:10" x14ac:dyDescent="0.2">
      <c r="A5">
        <v>1.5</v>
      </c>
      <c r="B5">
        <v>-33</v>
      </c>
      <c r="C5">
        <v>109</v>
      </c>
      <c r="D5">
        <v>59</v>
      </c>
      <c r="E5">
        <v>63.9</v>
      </c>
      <c r="F5">
        <v>0.1</v>
      </c>
      <c r="G5">
        <v>8</v>
      </c>
      <c r="I5">
        <v>128.26145173044</v>
      </c>
      <c r="J5">
        <v>1</v>
      </c>
    </row>
    <row r="6" spans="1:10" x14ac:dyDescent="0.2">
      <c r="A6">
        <v>2</v>
      </c>
      <c r="B6">
        <v>-31</v>
      </c>
      <c r="C6">
        <v>123</v>
      </c>
      <c r="D6">
        <v>58</v>
      </c>
      <c r="E6">
        <v>63.9</v>
      </c>
      <c r="F6">
        <v>0.1</v>
      </c>
      <c r="G6">
        <v>8</v>
      </c>
      <c r="I6">
        <v>139.47759676736601</v>
      </c>
      <c r="J6">
        <v>1</v>
      </c>
    </row>
    <row r="7" spans="1:10" x14ac:dyDescent="0.2">
      <c r="A7">
        <v>2.5</v>
      </c>
      <c r="B7">
        <v>-28</v>
      </c>
      <c r="C7">
        <v>142</v>
      </c>
      <c r="D7">
        <v>62</v>
      </c>
      <c r="E7">
        <v>63.9</v>
      </c>
      <c r="F7">
        <v>0.1</v>
      </c>
      <c r="G7">
        <v>8</v>
      </c>
      <c r="I7">
        <v>157.45475540611699</v>
      </c>
      <c r="J7">
        <v>1</v>
      </c>
    </row>
    <row r="8" spans="1:10" x14ac:dyDescent="0.2">
      <c r="A8">
        <v>3</v>
      </c>
      <c r="B8">
        <v>-26</v>
      </c>
      <c r="C8">
        <v>163</v>
      </c>
      <c r="D8">
        <v>63</v>
      </c>
      <c r="E8">
        <v>63.9</v>
      </c>
      <c r="F8">
        <v>0.1</v>
      </c>
      <c r="G8">
        <v>8</v>
      </c>
      <c r="I8">
        <v>176.67484257811</v>
      </c>
      <c r="J8">
        <v>1</v>
      </c>
    </row>
    <row r="9" spans="1:10" x14ac:dyDescent="0.2">
      <c r="A9">
        <v>3.5</v>
      </c>
      <c r="B9">
        <v>-21</v>
      </c>
      <c r="C9">
        <v>195</v>
      </c>
      <c r="D9">
        <v>64</v>
      </c>
      <c r="E9">
        <v>63.9</v>
      </c>
      <c r="F9">
        <v>0.1</v>
      </c>
      <c r="G9">
        <v>8</v>
      </c>
      <c r="I9">
        <v>206.30559856678599</v>
      </c>
      <c r="J9">
        <v>1</v>
      </c>
    </row>
    <row r="10" spans="1:10" x14ac:dyDescent="0.2">
      <c r="A10">
        <v>4</v>
      </c>
      <c r="B10">
        <v>-11</v>
      </c>
      <c r="C10">
        <v>232</v>
      </c>
      <c r="D10">
        <v>67</v>
      </c>
      <c r="E10">
        <v>63.9</v>
      </c>
      <c r="F10">
        <v>0.1</v>
      </c>
      <c r="G10">
        <v>8</v>
      </c>
      <c r="I10">
        <v>241.73125573661301</v>
      </c>
      <c r="J10">
        <v>1</v>
      </c>
    </row>
    <row r="11" spans="1:10" x14ac:dyDescent="0.2">
      <c r="A11">
        <v>4.5</v>
      </c>
      <c r="B11">
        <v>-5</v>
      </c>
      <c r="C11">
        <v>284</v>
      </c>
      <c r="D11">
        <v>70</v>
      </c>
      <c r="E11">
        <v>63.9</v>
      </c>
      <c r="F11">
        <v>0.1</v>
      </c>
      <c r="G11">
        <v>8</v>
      </c>
      <c r="I11">
        <v>292.54230463302201</v>
      </c>
      <c r="J11">
        <v>1</v>
      </c>
    </row>
    <row r="12" spans="1:10" x14ac:dyDescent="0.2">
      <c r="A12">
        <v>5</v>
      </c>
      <c r="B12">
        <v>2</v>
      </c>
      <c r="C12">
        <v>351</v>
      </c>
      <c r="D12">
        <v>73</v>
      </c>
      <c r="E12">
        <v>63.9</v>
      </c>
      <c r="F12">
        <v>0.1</v>
      </c>
      <c r="G12">
        <v>8</v>
      </c>
      <c r="I12">
        <v>358.516387352099</v>
      </c>
      <c r="J12">
        <v>1</v>
      </c>
    </row>
    <row r="13" spans="1:10" x14ac:dyDescent="0.2">
      <c r="A13">
        <v>5.5</v>
      </c>
      <c r="B13">
        <v>13</v>
      </c>
      <c r="C13">
        <v>444</v>
      </c>
      <c r="D13">
        <v>83</v>
      </c>
      <c r="E13">
        <v>63.9</v>
      </c>
      <c r="F13">
        <v>0.1</v>
      </c>
      <c r="G13">
        <v>8</v>
      </c>
      <c r="I13">
        <v>451.87830220093599</v>
      </c>
      <c r="J13">
        <v>1</v>
      </c>
    </row>
    <row r="14" spans="1:10" x14ac:dyDescent="0.2">
      <c r="A14">
        <v>6</v>
      </c>
      <c r="B14">
        <v>26</v>
      </c>
      <c r="C14">
        <v>549</v>
      </c>
      <c r="D14">
        <v>85</v>
      </c>
      <c r="E14">
        <v>63.9</v>
      </c>
      <c r="F14">
        <v>0.1</v>
      </c>
      <c r="G14">
        <v>8</v>
      </c>
      <c r="I14">
        <v>556.14926054072896</v>
      </c>
      <c r="J14">
        <v>1</v>
      </c>
    </row>
    <row r="15" spans="1:10" x14ac:dyDescent="0.2">
      <c r="A15">
        <v>6.5</v>
      </c>
      <c r="B15">
        <v>19</v>
      </c>
      <c r="C15">
        <v>657</v>
      </c>
      <c r="D15">
        <v>100</v>
      </c>
      <c r="E15">
        <v>63.9</v>
      </c>
      <c r="F15">
        <v>0.1</v>
      </c>
      <c r="G15">
        <v>8</v>
      </c>
      <c r="I15">
        <v>664.83832621171905</v>
      </c>
      <c r="J15">
        <v>1</v>
      </c>
    </row>
    <row r="16" spans="1:10" x14ac:dyDescent="0.2">
      <c r="A16">
        <v>7</v>
      </c>
      <c r="B16">
        <v>31</v>
      </c>
      <c r="C16">
        <v>767</v>
      </c>
      <c r="D16">
        <v>100</v>
      </c>
      <c r="E16">
        <v>63.9</v>
      </c>
      <c r="F16">
        <v>0.1</v>
      </c>
      <c r="G16">
        <v>8</v>
      </c>
      <c r="I16">
        <v>774.11239494016604</v>
      </c>
      <c r="J16">
        <v>1</v>
      </c>
    </row>
    <row r="17" spans="1:10" x14ac:dyDescent="0.2">
      <c r="A17">
        <v>7.5</v>
      </c>
      <c r="B17">
        <v>27</v>
      </c>
      <c r="C17">
        <v>859</v>
      </c>
      <c r="D17">
        <v>109</v>
      </c>
      <c r="E17">
        <v>63.9</v>
      </c>
      <c r="F17">
        <v>0.1</v>
      </c>
      <c r="G17">
        <v>8</v>
      </c>
      <c r="I17">
        <v>866.30883638573096</v>
      </c>
      <c r="J17">
        <v>1</v>
      </c>
    </row>
    <row r="18" spans="1:10" x14ac:dyDescent="0.2">
      <c r="A18">
        <v>8</v>
      </c>
      <c r="B18">
        <v>26</v>
      </c>
      <c r="C18">
        <v>951</v>
      </c>
      <c r="D18">
        <v>118</v>
      </c>
      <c r="E18">
        <v>63.9</v>
      </c>
      <c r="F18">
        <v>0.1</v>
      </c>
      <c r="G18">
        <v>8</v>
      </c>
      <c r="I18">
        <v>958.64539846598097</v>
      </c>
      <c r="J18">
        <v>1</v>
      </c>
    </row>
    <row r="19" spans="1:10" x14ac:dyDescent="0.2">
      <c r="A19">
        <v>8.5</v>
      </c>
      <c r="B19">
        <v>26</v>
      </c>
      <c r="C19">
        <v>1015</v>
      </c>
      <c r="D19">
        <v>126</v>
      </c>
      <c r="E19">
        <v>63.9</v>
      </c>
      <c r="F19">
        <v>0.1</v>
      </c>
      <c r="G19">
        <v>8</v>
      </c>
      <c r="I19">
        <v>1023.12120494104</v>
      </c>
      <c r="J19">
        <v>1</v>
      </c>
    </row>
    <row r="20" spans="1:10" x14ac:dyDescent="0.2">
      <c r="A20">
        <v>9</v>
      </c>
      <c r="B20">
        <v>23</v>
      </c>
      <c r="C20">
        <v>1062</v>
      </c>
      <c r="D20">
        <v>131</v>
      </c>
      <c r="E20">
        <v>63.9</v>
      </c>
      <c r="F20">
        <v>0.1</v>
      </c>
      <c r="G20">
        <v>8</v>
      </c>
      <c r="I20">
        <v>1070.2962206791201</v>
      </c>
      <c r="J20">
        <v>1</v>
      </c>
    </row>
    <row r="21" spans="1:10" x14ac:dyDescent="0.2">
      <c r="A21">
        <v>9.5</v>
      </c>
      <c r="B21">
        <v>19</v>
      </c>
      <c r="C21">
        <v>1095</v>
      </c>
      <c r="D21">
        <v>134</v>
      </c>
      <c r="E21">
        <v>63.9</v>
      </c>
      <c r="F21">
        <v>0.1</v>
      </c>
      <c r="G21">
        <v>8</v>
      </c>
      <c r="I21">
        <v>1103.3322255784999</v>
      </c>
      <c r="J21">
        <v>1</v>
      </c>
    </row>
    <row r="22" spans="1:10" x14ac:dyDescent="0.2">
      <c r="A22">
        <v>10</v>
      </c>
      <c r="B22">
        <v>11</v>
      </c>
      <c r="C22">
        <v>1115</v>
      </c>
      <c r="D22">
        <v>132</v>
      </c>
      <c r="E22">
        <v>63.9</v>
      </c>
      <c r="F22">
        <v>0.1</v>
      </c>
      <c r="G22">
        <v>8</v>
      </c>
      <c r="I22">
        <v>1122.84014890812</v>
      </c>
      <c r="J22">
        <v>1</v>
      </c>
    </row>
    <row r="23" spans="1:10" x14ac:dyDescent="0.2">
      <c r="A23">
        <v>10.5</v>
      </c>
      <c r="B23">
        <v>9</v>
      </c>
      <c r="C23">
        <v>1124</v>
      </c>
      <c r="D23">
        <v>136</v>
      </c>
      <c r="E23">
        <v>63.9</v>
      </c>
      <c r="F23">
        <v>0.1</v>
      </c>
      <c r="G23">
        <v>8</v>
      </c>
      <c r="I23">
        <v>1132.23363313408</v>
      </c>
      <c r="J23">
        <v>1</v>
      </c>
    </row>
    <row r="24" spans="1:10" x14ac:dyDescent="0.2">
      <c r="A24">
        <v>11</v>
      </c>
      <c r="B24">
        <v>-2</v>
      </c>
      <c r="C24">
        <v>1119</v>
      </c>
      <c r="D24">
        <v>134</v>
      </c>
      <c r="E24">
        <v>63.9</v>
      </c>
      <c r="F24">
        <v>0.1</v>
      </c>
      <c r="G24">
        <v>8</v>
      </c>
      <c r="I24">
        <v>1126.99645074863</v>
      </c>
      <c r="J24">
        <v>1</v>
      </c>
    </row>
    <row r="25" spans="1:10" x14ac:dyDescent="0.2">
      <c r="A25">
        <v>11.5</v>
      </c>
      <c r="B25">
        <v>0</v>
      </c>
      <c r="C25">
        <v>1103</v>
      </c>
      <c r="D25">
        <v>135</v>
      </c>
      <c r="E25">
        <v>63.9</v>
      </c>
      <c r="F25">
        <v>0.1</v>
      </c>
      <c r="G25">
        <v>8</v>
      </c>
      <c r="I25">
        <v>1111.23084910382</v>
      </c>
      <c r="J25">
        <v>1</v>
      </c>
    </row>
    <row r="26" spans="1:10" x14ac:dyDescent="0.2">
      <c r="A26">
        <v>12</v>
      </c>
      <c r="B26">
        <v>-11</v>
      </c>
      <c r="C26">
        <v>1079</v>
      </c>
      <c r="D26">
        <v>130</v>
      </c>
      <c r="E26">
        <v>63.9</v>
      </c>
      <c r="F26">
        <v>0.1</v>
      </c>
      <c r="G26">
        <v>8</v>
      </c>
      <c r="I26">
        <v>1086.8587764746601</v>
      </c>
      <c r="J26">
        <v>1</v>
      </c>
    </row>
    <row r="27" spans="1:10" x14ac:dyDescent="0.2">
      <c r="A27">
        <v>12.5</v>
      </c>
      <c r="B27">
        <v>-11</v>
      </c>
      <c r="C27">
        <v>1051</v>
      </c>
      <c r="D27">
        <v>132</v>
      </c>
      <c r="E27">
        <v>63.9</v>
      </c>
      <c r="F27">
        <v>0.1</v>
      </c>
      <c r="G27">
        <v>8</v>
      </c>
      <c r="I27">
        <v>1059.3139289181499</v>
      </c>
      <c r="J27">
        <v>1</v>
      </c>
    </row>
    <row r="28" spans="1:10" x14ac:dyDescent="0.2">
      <c r="A28">
        <v>13</v>
      </c>
      <c r="B28">
        <v>-7</v>
      </c>
      <c r="C28">
        <v>1028</v>
      </c>
      <c r="D28">
        <v>132</v>
      </c>
      <c r="E28">
        <v>63.9</v>
      </c>
      <c r="F28">
        <v>0.1</v>
      </c>
      <c r="G28">
        <v>8</v>
      </c>
      <c r="I28">
        <v>1036.46369931609</v>
      </c>
      <c r="J28">
        <v>1</v>
      </c>
    </row>
    <row r="29" spans="1:10" x14ac:dyDescent="0.2">
      <c r="A29">
        <v>13.5</v>
      </c>
      <c r="B29">
        <v>-4</v>
      </c>
      <c r="C29">
        <v>1013</v>
      </c>
      <c r="D29">
        <v>127</v>
      </c>
      <c r="E29">
        <v>63.9</v>
      </c>
      <c r="F29">
        <v>0.1</v>
      </c>
      <c r="G29">
        <v>8</v>
      </c>
      <c r="I29">
        <v>1020.9378041781</v>
      </c>
      <c r="J29">
        <v>1</v>
      </c>
    </row>
    <row r="30" spans="1:10" x14ac:dyDescent="0.2">
      <c r="A30">
        <v>14</v>
      </c>
      <c r="B30">
        <v>-3</v>
      </c>
      <c r="C30">
        <v>1015</v>
      </c>
      <c r="D30">
        <v>128</v>
      </c>
      <c r="E30">
        <v>63.9</v>
      </c>
      <c r="F30">
        <v>0.1</v>
      </c>
      <c r="G30">
        <v>8</v>
      </c>
      <c r="I30">
        <v>1023.04349858645</v>
      </c>
      <c r="J30">
        <v>1</v>
      </c>
    </row>
    <row r="31" spans="1:10" x14ac:dyDescent="0.2">
      <c r="A31">
        <v>14.5</v>
      </c>
      <c r="B31">
        <v>2</v>
      </c>
      <c r="C31">
        <v>1029</v>
      </c>
      <c r="D31">
        <v>131</v>
      </c>
      <c r="E31">
        <v>63.9</v>
      </c>
      <c r="F31">
        <v>0.1</v>
      </c>
      <c r="G31">
        <v>8</v>
      </c>
      <c r="I31">
        <v>1037.3070904992401</v>
      </c>
      <c r="J31">
        <v>1</v>
      </c>
    </row>
    <row r="32" spans="1:10" x14ac:dyDescent="0.2">
      <c r="A32">
        <v>15</v>
      </c>
      <c r="B32">
        <v>2</v>
      </c>
      <c r="C32">
        <v>1049</v>
      </c>
      <c r="D32">
        <v>130</v>
      </c>
      <c r="E32">
        <v>63.9</v>
      </c>
      <c r="F32">
        <v>0.1</v>
      </c>
      <c r="G32">
        <v>8</v>
      </c>
      <c r="I32">
        <v>1057.02648973429</v>
      </c>
      <c r="J32">
        <v>1</v>
      </c>
    </row>
    <row r="33" spans="1:10" x14ac:dyDescent="0.2">
      <c r="A33">
        <v>15.5</v>
      </c>
      <c r="B33">
        <v>3</v>
      </c>
      <c r="C33">
        <v>1063</v>
      </c>
      <c r="D33">
        <v>133</v>
      </c>
      <c r="E33">
        <v>63.9</v>
      </c>
      <c r="F33">
        <v>0.1</v>
      </c>
      <c r="G33">
        <v>8</v>
      </c>
      <c r="I33">
        <v>1071.2922103702599</v>
      </c>
      <c r="J33">
        <v>1</v>
      </c>
    </row>
    <row r="34" spans="1:10" x14ac:dyDescent="0.2">
      <c r="A34">
        <v>16</v>
      </c>
      <c r="B34">
        <v>1</v>
      </c>
      <c r="C34">
        <v>1075</v>
      </c>
      <c r="D34">
        <v>133</v>
      </c>
      <c r="E34">
        <v>63.9</v>
      </c>
      <c r="F34">
        <v>0.1</v>
      </c>
      <c r="G34">
        <v>8</v>
      </c>
      <c r="I34">
        <v>1083.1966580450701</v>
      </c>
      <c r="J34">
        <v>1</v>
      </c>
    </row>
    <row r="35" spans="1:10" x14ac:dyDescent="0.2">
      <c r="A35">
        <v>16.5</v>
      </c>
      <c r="B35">
        <v>0</v>
      </c>
      <c r="C35">
        <v>1075</v>
      </c>
      <c r="D35">
        <v>138</v>
      </c>
      <c r="E35">
        <v>63.9</v>
      </c>
      <c r="F35">
        <v>0.1</v>
      </c>
      <c r="G35">
        <v>8</v>
      </c>
      <c r="I35">
        <v>1083.821479765</v>
      </c>
      <c r="J35">
        <v>1</v>
      </c>
    </row>
    <row r="36" spans="1:10" x14ac:dyDescent="0.2">
      <c r="A36">
        <v>17</v>
      </c>
      <c r="B36">
        <v>-10</v>
      </c>
      <c r="C36">
        <v>1068</v>
      </c>
      <c r="D36">
        <v>131</v>
      </c>
      <c r="E36">
        <v>63.9</v>
      </c>
      <c r="F36">
        <v>0.1</v>
      </c>
      <c r="G36">
        <v>8</v>
      </c>
      <c r="I36">
        <v>1076.05064936554</v>
      </c>
      <c r="J36">
        <v>1</v>
      </c>
    </row>
    <row r="37" spans="1:10" x14ac:dyDescent="0.2">
      <c r="A37">
        <v>17.5</v>
      </c>
      <c r="B37">
        <v>-15</v>
      </c>
      <c r="C37">
        <v>1043</v>
      </c>
      <c r="D37">
        <v>126</v>
      </c>
      <c r="E37">
        <v>63.9</v>
      </c>
      <c r="F37">
        <v>0.1</v>
      </c>
      <c r="G37">
        <v>8</v>
      </c>
      <c r="I37">
        <v>1050.69024931233</v>
      </c>
      <c r="J37">
        <v>1</v>
      </c>
    </row>
    <row r="38" spans="1:10" x14ac:dyDescent="0.2">
      <c r="A38">
        <v>18</v>
      </c>
      <c r="B38">
        <v>-15</v>
      </c>
      <c r="C38">
        <v>1013</v>
      </c>
      <c r="D38">
        <v>125</v>
      </c>
      <c r="E38">
        <v>63.9</v>
      </c>
      <c r="F38">
        <v>0.1</v>
      </c>
      <c r="G38">
        <v>8</v>
      </c>
      <c r="I38">
        <v>1020.79331894365</v>
      </c>
      <c r="J38">
        <v>1</v>
      </c>
    </row>
    <row r="39" spans="1:10" x14ac:dyDescent="0.2">
      <c r="A39">
        <v>18.5</v>
      </c>
      <c r="B39">
        <v>-19</v>
      </c>
      <c r="C39">
        <v>957</v>
      </c>
      <c r="D39">
        <v>122</v>
      </c>
      <c r="E39">
        <v>63.9</v>
      </c>
      <c r="F39">
        <v>0.1</v>
      </c>
      <c r="G39">
        <v>8</v>
      </c>
      <c r="I39">
        <v>964.93212196506295</v>
      </c>
      <c r="J39">
        <v>1</v>
      </c>
    </row>
    <row r="40" spans="1:10" x14ac:dyDescent="0.2">
      <c r="A40">
        <v>19</v>
      </c>
      <c r="B40">
        <v>-29</v>
      </c>
      <c r="C40">
        <v>893</v>
      </c>
      <c r="D40">
        <v>114</v>
      </c>
      <c r="E40">
        <v>63.9</v>
      </c>
      <c r="F40">
        <v>0.1</v>
      </c>
      <c r="G40">
        <v>8</v>
      </c>
      <c r="I40">
        <v>900.71416109662698</v>
      </c>
      <c r="J40">
        <v>1</v>
      </c>
    </row>
    <row r="41" spans="1:10" x14ac:dyDescent="0.2">
      <c r="A41">
        <v>19.5</v>
      </c>
      <c r="B41">
        <v>-40</v>
      </c>
      <c r="C41">
        <v>801</v>
      </c>
      <c r="D41">
        <v>102</v>
      </c>
      <c r="E41">
        <v>63.9</v>
      </c>
      <c r="F41">
        <v>0.1</v>
      </c>
      <c r="G41">
        <v>8</v>
      </c>
      <c r="I41">
        <v>808.45840956724498</v>
      </c>
      <c r="J41">
        <v>1</v>
      </c>
    </row>
    <row r="42" spans="1:10" x14ac:dyDescent="0.2">
      <c r="A42">
        <v>20</v>
      </c>
      <c r="B42">
        <v>-40</v>
      </c>
      <c r="C42">
        <v>693</v>
      </c>
      <c r="D42">
        <v>99</v>
      </c>
      <c r="E42">
        <v>63.9</v>
      </c>
      <c r="F42">
        <v>0.1</v>
      </c>
      <c r="G42">
        <v>8</v>
      </c>
      <c r="I42">
        <v>701.17758093082205</v>
      </c>
      <c r="J42">
        <v>1</v>
      </c>
    </row>
    <row r="43" spans="1:10" x14ac:dyDescent="0.2">
      <c r="A43">
        <v>20.5</v>
      </c>
      <c r="B43">
        <v>-38</v>
      </c>
      <c r="C43">
        <v>580</v>
      </c>
      <c r="D43">
        <v>95</v>
      </c>
      <c r="E43">
        <v>63.9</v>
      </c>
      <c r="F43">
        <v>0.1</v>
      </c>
      <c r="G43">
        <v>8</v>
      </c>
      <c r="I43">
        <v>588.95585573114101</v>
      </c>
      <c r="J43">
        <v>1</v>
      </c>
    </row>
    <row r="44" spans="1:10" x14ac:dyDescent="0.2">
      <c r="A44">
        <v>21</v>
      </c>
      <c r="B44">
        <v>-36</v>
      </c>
      <c r="C44">
        <v>485</v>
      </c>
      <c r="D44">
        <v>88</v>
      </c>
      <c r="E44">
        <v>63.9</v>
      </c>
      <c r="F44">
        <v>0.1</v>
      </c>
      <c r="G44">
        <v>8</v>
      </c>
      <c r="I44">
        <v>494.231727026908</v>
      </c>
      <c r="J44">
        <v>1</v>
      </c>
    </row>
    <row r="45" spans="1:10" x14ac:dyDescent="0.2">
      <c r="A45">
        <v>21.5</v>
      </c>
      <c r="B45">
        <v>-31</v>
      </c>
      <c r="C45">
        <v>381</v>
      </c>
      <c r="D45">
        <v>89</v>
      </c>
      <c r="E45">
        <v>63.9</v>
      </c>
      <c r="F45">
        <v>0.1</v>
      </c>
      <c r="G45">
        <v>8</v>
      </c>
      <c r="I45">
        <v>392.48312065616301</v>
      </c>
      <c r="J45">
        <v>1</v>
      </c>
    </row>
    <row r="46" spans="1:10" x14ac:dyDescent="0.2">
      <c r="A46">
        <v>22</v>
      </c>
      <c r="B46">
        <v>-32</v>
      </c>
      <c r="C46">
        <v>316</v>
      </c>
      <c r="D46">
        <v>77</v>
      </c>
      <c r="E46">
        <v>63.9</v>
      </c>
      <c r="F46">
        <v>0.1</v>
      </c>
      <c r="G46">
        <v>8</v>
      </c>
      <c r="I46">
        <v>326.81646225366302</v>
      </c>
      <c r="J46">
        <v>1</v>
      </c>
    </row>
    <row r="47" spans="1:10" x14ac:dyDescent="0.2">
      <c r="A47">
        <v>22.5</v>
      </c>
      <c r="B47">
        <v>-33</v>
      </c>
      <c r="C47">
        <v>252</v>
      </c>
      <c r="D47">
        <v>74</v>
      </c>
      <c r="E47">
        <v>63.9</v>
      </c>
      <c r="F47">
        <v>0.1</v>
      </c>
      <c r="G47">
        <v>8</v>
      </c>
      <c r="I47">
        <v>264.70549673174497</v>
      </c>
      <c r="J47">
        <v>1</v>
      </c>
    </row>
    <row r="48" spans="1:10" x14ac:dyDescent="0.2">
      <c r="A48">
        <v>23</v>
      </c>
      <c r="B48">
        <v>-35</v>
      </c>
      <c r="C48">
        <v>198</v>
      </c>
      <c r="D48">
        <v>69</v>
      </c>
      <c r="E48">
        <v>63.9</v>
      </c>
      <c r="F48">
        <v>0.1</v>
      </c>
      <c r="G48">
        <v>8</v>
      </c>
      <c r="I48">
        <v>212.57939693206399</v>
      </c>
      <c r="J48">
        <v>1</v>
      </c>
    </row>
    <row r="49" spans="1:10" x14ac:dyDescent="0.2">
      <c r="A49">
        <v>23.5</v>
      </c>
      <c r="B49">
        <v>-38</v>
      </c>
      <c r="C49">
        <v>167</v>
      </c>
      <c r="D49">
        <v>69</v>
      </c>
      <c r="E49">
        <v>63.9</v>
      </c>
      <c r="F49">
        <v>0.1</v>
      </c>
      <c r="G49">
        <v>8</v>
      </c>
      <c r="I49">
        <v>184.645606500669</v>
      </c>
      <c r="J49">
        <v>1</v>
      </c>
    </row>
    <row r="50" spans="1:10" x14ac:dyDescent="0.2">
      <c r="A50">
        <v>24</v>
      </c>
      <c r="B50">
        <v>-39</v>
      </c>
      <c r="C50">
        <v>143</v>
      </c>
      <c r="D50">
        <v>64</v>
      </c>
      <c r="E50">
        <v>63.9</v>
      </c>
      <c r="F50">
        <v>0.1</v>
      </c>
      <c r="G50">
        <v>8</v>
      </c>
      <c r="I50">
        <v>161.44968256394901</v>
      </c>
      <c r="J50">
        <v>1</v>
      </c>
    </row>
    <row r="51" spans="1:10" x14ac:dyDescent="0.2">
      <c r="A51">
        <v>24.5</v>
      </c>
      <c r="B51">
        <v>-41</v>
      </c>
      <c r="C51">
        <v>126</v>
      </c>
      <c r="D51">
        <v>64</v>
      </c>
      <c r="E51">
        <v>63.9</v>
      </c>
      <c r="F51">
        <v>0.1</v>
      </c>
      <c r="G51">
        <v>8</v>
      </c>
      <c r="I51">
        <v>147.149583757481</v>
      </c>
      <c r="J51">
        <v>1</v>
      </c>
    </row>
    <row r="52" spans="1:10" x14ac:dyDescent="0.2">
      <c r="A52">
        <v>25</v>
      </c>
      <c r="B52">
        <v>-41</v>
      </c>
      <c r="C52">
        <v>110</v>
      </c>
      <c r="D52">
        <v>61</v>
      </c>
      <c r="E52">
        <v>63.9</v>
      </c>
      <c r="F52">
        <v>0.1</v>
      </c>
      <c r="G52">
        <v>8</v>
      </c>
      <c r="I52">
        <v>132.29512462672199</v>
      </c>
      <c r="J52">
        <v>1</v>
      </c>
    </row>
    <row r="53" spans="1:10" x14ac:dyDescent="0.2">
      <c r="A53">
        <v>25.5</v>
      </c>
      <c r="B53">
        <v>-42</v>
      </c>
      <c r="C53">
        <v>98</v>
      </c>
      <c r="D53">
        <v>60</v>
      </c>
      <c r="E53">
        <v>63.9</v>
      </c>
      <c r="F53">
        <v>0.1</v>
      </c>
      <c r="G53">
        <v>8</v>
      </c>
      <c r="I53">
        <v>122.343777937417</v>
      </c>
      <c r="J53">
        <v>1</v>
      </c>
    </row>
    <row r="54" spans="1:10" x14ac:dyDescent="0.2">
      <c r="A54">
        <v>26</v>
      </c>
      <c r="B54">
        <v>-41</v>
      </c>
      <c r="C54">
        <v>90</v>
      </c>
      <c r="D54">
        <v>58</v>
      </c>
      <c r="E54">
        <v>63.9</v>
      </c>
      <c r="F54">
        <v>0.1</v>
      </c>
      <c r="G54">
        <v>8</v>
      </c>
      <c r="I54">
        <v>114.651646303051</v>
      </c>
      <c r="J54">
        <v>1</v>
      </c>
    </row>
    <row r="55" spans="1:10" x14ac:dyDescent="0.2">
      <c r="A55">
        <v>26.5</v>
      </c>
      <c r="B55">
        <v>-49</v>
      </c>
      <c r="C55">
        <v>81</v>
      </c>
      <c r="D55">
        <v>56</v>
      </c>
      <c r="E55">
        <v>63.9</v>
      </c>
      <c r="F55">
        <v>0.1</v>
      </c>
      <c r="G55">
        <v>8</v>
      </c>
      <c r="I55">
        <v>109.990908715221</v>
      </c>
      <c r="J5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zoomScaleNormal="100" workbookViewId="0">
      <selection activeCell="C6" sqref="C6"/>
    </sheetView>
  </sheetViews>
  <sheetFormatPr baseColWidth="10" defaultColWidth="10.5" defaultRowHeight="15" x14ac:dyDescent="0.2"/>
  <cols>
    <col min="1" max="1" width="8.1640625" customWidth="1"/>
    <col min="2" max="2" width="12.5" customWidth="1"/>
    <col min="3" max="3" width="10.6640625" customWidth="1"/>
    <col min="4" max="4" width="8.5" customWidth="1"/>
    <col min="5" max="5" width="8.83203125" customWidth="1"/>
    <col min="6" max="6" width="8.5" customWidth="1"/>
    <col min="7" max="7" width="11" customWidth="1"/>
  </cols>
  <sheetData>
    <row r="1" spans="1:7" x14ac:dyDescent="0.2">
      <c r="A1" s="2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spans="1:7" x14ac:dyDescent="0.2">
      <c r="A2" s="4">
        <v>1</v>
      </c>
      <c r="B2">
        <v>60</v>
      </c>
      <c r="C2">
        <v>64.099999999999994</v>
      </c>
      <c r="D2">
        <v>1.2549999999999999</v>
      </c>
      <c r="E2">
        <v>1.264</v>
      </c>
      <c r="F2">
        <v>1.2470000000000001</v>
      </c>
      <c r="G2">
        <v>2.5139999999999998</v>
      </c>
    </row>
    <row r="3" spans="1:7" x14ac:dyDescent="0.2">
      <c r="A3" s="4">
        <v>2</v>
      </c>
      <c r="B3">
        <v>120</v>
      </c>
      <c r="C3">
        <v>64.7</v>
      </c>
      <c r="D3">
        <v>1.256</v>
      </c>
      <c r="E3">
        <v>1.266</v>
      </c>
      <c r="F3">
        <v>1.246</v>
      </c>
      <c r="G3">
        <v>2.5169999999999999</v>
      </c>
    </row>
    <row r="4" spans="1:7" x14ac:dyDescent="0.2">
      <c r="A4" s="4">
        <v>3</v>
      </c>
      <c r="B4">
        <v>360</v>
      </c>
      <c r="C4">
        <v>64.099999999999994</v>
      </c>
      <c r="D4">
        <v>1.25</v>
      </c>
      <c r="E4">
        <v>1.26</v>
      </c>
      <c r="F4">
        <v>1.24</v>
      </c>
      <c r="G4">
        <v>2.5179999999999998</v>
      </c>
    </row>
    <row r="5" spans="1:7" x14ac:dyDescent="0.2">
      <c r="A5" s="4">
        <v>4</v>
      </c>
      <c r="B5">
        <v>720</v>
      </c>
      <c r="C5">
        <v>64</v>
      </c>
      <c r="D5">
        <v>1.2669999999999999</v>
      </c>
      <c r="E5">
        <v>1.2789999999999999</v>
      </c>
      <c r="F5">
        <v>1.254</v>
      </c>
      <c r="G5">
        <v>2.5190000000000001</v>
      </c>
    </row>
    <row r="6" spans="1:7" x14ac:dyDescent="0.2">
      <c r="A6" s="2">
        <v>5</v>
      </c>
      <c r="B6" s="3">
        <v>1200</v>
      </c>
      <c r="C6" s="3">
        <v>49.5</v>
      </c>
      <c r="D6" s="3">
        <v>1.262</v>
      </c>
      <c r="E6" s="3">
        <v>1.272</v>
      </c>
      <c r="F6" s="3">
        <v>1.2470000000000001</v>
      </c>
      <c r="G6" s="3">
        <v>2.52</v>
      </c>
    </row>
    <row r="7" spans="1:7" x14ac:dyDescent="0.2">
      <c r="A7" s="4">
        <v>1</v>
      </c>
      <c r="B7">
        <v>60</v>
      </c>
      <c r="C7">
        <v>57.6</v>
      </c>
      <c r="D7">
        <v>1.246</v>
      </c>
      <c r="E7">
        <v>1.256</v>
      </c>
      <c r="F7">
        <v>1.238</v>
      </c>
      <c r="G7">
        <v>2.5139999999999998</v>
      </c>
    </row>
    <row r="8" spans="1:7" x14ac:dyDescent="0.2">
      <c r="A8" s="4">
        <v>2</v>
      </c>
      <c r="B8">
        <v>120</v>
      </c>
      <c r="C8">
        <v>57.4</v>
      </c>
      <c r="D8">
        <v>1.2529999999999999</v>
      </c>
      <c r="E8">
        <v>1.262</v>
      </c>
      <c r="F8">
        <v>1.244</v>
      </c>
      <c r="G8">
        <v>2.5139999999999998</v>
      </c>
    </row>
    <row r="9" spans="1:7" x14ac:dyDescent="0.2">
      <c r="A9" s="4">
        <v>3</v>
      </c>
      <c r="B9">
        <v>360</v>
      </c>
      <c r="C9">
        <v>57.9</v>
      </c>
      <c r="D9">
        <v>1.2450000000000001</v>
      </c>
      <c r="E9">
        <v>1.254</v>
      </c>
      <c r="F9">
        <v>1.234</v>
      </c>
      <c r="G9">
        <v>2.5139999999999998</v>
      </c>
    </row>
    <row r="10" spans="1:7" x14ac:dyDescent="0.2">
      <c r="A10" s="4">
        <v>4</v>
      </c>
      <c r="B10">
        <v>720</v>
      </c>
      <c r="C10">
        <v>57.8</v>
      </c>
      <c r="D10">
        <v>1.2430000000000001</v>
      </c>
      <c r="E10">
        <v>1.2529999999999999</v>
      </c>
      <c r="F10">
        <v>1.2330000000000001</v>
      </c>
      <c r="G10">
        <v>2.5139999999999998</v>
      </c>
    </row>
    <row r="11" spans="1:7" x14ac:dyDescent="0.2">
      <c r="A11" s="2">
        <v>5</v>
      </c>
      <c r="B11" s="3">
        <v>1200</v>
      </c>
      <c r="C11" s="3">
        <v>41.9</v>
      </c>
      <c r="D11" s="3">
        <v>1.25</v>
      </c>
      <c r="E11" s="3">
        <v>1.26</v>
      </c>
      <c r="F11" s="3">
        <v>1.2430000000000001</v>
      </c>
      <c r="G11" s="3">
        <v>2.5139999999999998</v>
      </c>
    </row>
    <row r="12" spans="1:7" x14ac:dyDescent="0.2">
      <c r="A12" s="4">
        <v>1</v>
      </c>
      <c r="B12">
        <v>60</v>
      </c>
      <c r="C12">
        <v>77.3</v>
      </c>
      <c r="D12">
        <v>1.2589999999999999</v>
      </c>
      <c r="E12">
        <v>1.2709999999999999</v>
      </c>
      <c r="F12">
        <v>1.25</v>
      </c>
      <c r="G12">
        <v>2.5139999999999998</v>
      </c>
    </row>
    <row r="13" spans="1:7" x14ac:dyDescent="0.2">
      <c r="A13" s="4">
        <v>2</v>
      </c>
      <c r="B13">
        <v>120</v>
      </c>
      <c r="C13">
        <v>77.099999999999994</v>
      </c>
      <c r="D13">
        <v>1.27</v>
      </c>
      <c r="E13">
        <v>1.2809999999999999</v>
      </c>
      <c r="F13">
        <v>1.2589999999999999</v>
      </c>
      <c r="G13">
        <v>2.5139999999999998</v>
      </c>
    </row>
    <row r="14" spans="1:7" x14ac:dyDescent="0.2">
      <c r="A14" s="4">
        <v>3</v>
      </c>
      <c r="B14">
        <v>360</v>
      </c>
      <c r="C14">
        <v>77.099999999999994</v>
      </c>
      <c r="D14">
        <v>1.2709999999999999</v>
      </c>
      <c r="E14">
        <v>1.2829999999999999</v>
      </c>
      <c r="F14">
        <v>1.26</v>
      </c>
      <c r="G14">
        <v>2.5139999999999998</v>
      </c>
    </row>
    <row r="15" spans="1:7" x14ac:dyDescent="0.2">
      <c r="A15" s="4">
        <v>4</v>
      </c>
      <c r="B15">
        <v>720</v>
      </c>
      <c r="C15">
        <v>76.599999999999994</v>
      </c>
      <c r="D15">
        <v>1.252</v>
      </c>
      <c r="E15">
        <v>1.27</v>
      </c>
      <c r="F15">
        <v>1.2410000000000001</v>
      </c>
      <c r="G15">
        <v>2.5139999999999998</v>
      </c>
    </row>
    <row r="16" spans="1:7" x14ac:dyDescent="0.2">
      <c r="A16" s="2">
        <v>5</v>
      </c>
      <c r="B16" s="3">
        <v>1200</v>
      </c>
      <c r="C16" s="3">
        <v>34.799999999999997</v>
      </c>
      <c r="D16" s="3">
        <v>1.2789999999999999</v>
      </c>
      <c r="E16" s="3">
        <v>1.29</v>
      </c>
      <c r="F16" s="3">
        <v>1.2709999999999999</v>
      </c>
      <c r="G16" s="3">
        <v>2.5139999999999998</v>
      </c>
    </row>
    <row r="17" spans="1:7" x14ac:dyDescent="0.2">
      <c r="A17" s="4">
        <v>1</v>
      </c>
      <c r="B17">
        <v>60</v>
      </c>
      <c r="C17">
        <v>50</v>
      </c>
      <c r="D17">
        <v>1.254</v>
      </c>
      <c r="E17">
        <v>1.264</v>
      </c>
      <c r="F17">
        <v>1.248</v>
      </c>
      <c r="G17">
        <v>2.5139999999999998</v>
      </c>
    </row>
    <row r="18" spans="1:7" x14ac:dyDescent="0.2">
      <c r="A18" s="4">
        <v>2</v>
      </c>
      <c r="B18">
        <v>120</v>
      </c>
      <c r="C18">
        <v>50.1</v>
      </c>
      <c r="D18">
        <v>1.2729999999999999</v>
      </c>
      <c r="E18">
        <v>1.2809999999999999</v>
      </c>
      <c r="F18">
        <v>1.2629999999999999</v>
      </c>
      <c r="G18">
        <v>2.5139999999999998</v>
      </c>
    </row>
    <row r="19" spans="1:7" x14ac:dyDescent="0.2">
      <c r="A19" s="4">
        <v>3</v>
      </c>
      <c r="B19">
        <v>360</v>
      </c>
      <c r="C19">
        <v>50</v>
      </c>
      <c r="D19">
        <v>1.2729999999999999</v>
      </c>
      <c r="E19">
        <v>1.282</v>
      </c>
      <c r="F19">
        <v>1.2629999999999999</v>
      </c>
      <c r="G19">
        <v>2.5139999999999998</v>
      </c>
    </row>
    <row r="20" spans="1:7" x14ac:dyDescent="0.2">
      <c r="A20" s="4">
        <v>4</v>
      </c>
      <c r="B20">
        <v>720</v>
      </c>
      <c r="C20">
        <v>50</v>
      </c>
      <c r="D20">
        <v>1.2749999999999999</v>
      </c>
      <c r="E20">
        <v>1.286</v>
      </c>
      <c r="F20">
        <v>1.2669999999999999</v>
      </c>
      <c r="G20">
        <v>2.5139999999999998</v>
      </c>
    </row>
    <row r="21" spans="1:7" x14ac:dyDescent="0.2">
      <c r="A21" s="2">
        <v>5</v>
      </c>
      <c r="B21" s="3">
        <v>1200</v>
      </c>
      <c r="C21" s="3">
        <v>26.1</v>
      </c>
      <c r="D21" s="3">
        <v>1.2729999999999999</v>
      </c>
      <c r="E21" s="3">
        <v>1.28</v>
      </c>
      <c r="F21" s="3">
        <v>1.2669999999999999</v>
      </c>
      <c r="G21" s="3">
        <v>2.5139999999999998</v>
      </c>
    </row>
    <row r="22" spans="1:7" x14ac:dyDescent="0.2">
      <c r="A22" s="4">
        <v>1</v>
      </c>
      <c r="B22">
        <v>60</v>
      </c>
      <c r="C22">
        <v>30.5</v>
      </c>
      <c r="D22">
        <v>1.2509999999999999</v>
      </c>
      <c r="E22">
        <v>1.2569999999999999</v>
      </c>
      <c r="F22">
        <v>1.2450000000000001</v>
      </c>
      <c r="G22">
        <v>2.5139999999999998</v>
      </c>
    </row>
    <row r="23" spans="1:7" x14ac:dyDescent="0.2">
      <c r="A23" s="4">
        <v>2</v>
      </c>
      <c r="B23">
        <v>120</v>
      </c>
      <c r="C23">
        <v>30.3</v>
      </c>
      <c r="D23">
        <v>1.2589999999999999</v>
      </c>
      <c r="E23">
        <v>1.266</v>
      </c>
      <c r="F23">
        <v>1.2529999999999999</v>
      </c>
      <c r="G23">
        <v>2.5139999999999998</v>
      </c>
    </row>
    <row r="24" spans="1:7" x14ac:dyDescent="0.2">
      <c r="A24" s="4">
        <v>3</v>
      </c>
      <c r="B24">
        <v>360</v>
      </c>
      <c r="C24">
        <v>30</v>
      </c>
      <c r="D24">
        <v>1.2749999999999999</v>
      </c>
      <c r="E24">
        <v>1.2809999999999999</v>
      </c>
      <c r="F24">
        <v>1.27</v>
      </c>
      <c r="G24">
        <v>2.5139999999999998</v>
      </c>
    </row>
    <row r="25" spans="1:7" x14ac:dyDescent="0.2">
      <c r="A25" s="4">
        <v>4</v>
      </c>
      <c r="B25">
        <v>720</v>
      </c>
      <c r="C25">
        <v>30</v>
      </c>
      <c r="D25">
        <v>1.2649999999999999</v>
      </c>
      <c r="E25">
        <v>1.272</v>
      </c>
      <c r="F25">
        <v>1.26</v>
      </c>
      <c r="G25">
        <v>2.5139999999999998</v>
      </c>
    </row>
    <row r="26" spans="1:7" x14ac:dyDescent="0.2">
      <c r="A26" s="4">
        <v>5</v>
      </c>
      <c r="B26">
        <v>1200</v>
      </c>
      <c r="C26">
        <v>20</v>
      </c>
      <c r="D26">
        <v>1.2509999999999999</v>
      </c>
      <c r="E26">
        <v>1.2549999999999999</v>
      </c>
      <c r="F26">
        <v>1.244</v>
      </c>
      <c r="G26">
        <v>2.5139999999999998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topLeftCell="B1" zoomScaleNormal="100" workbookViewId="0">
      <selection activeCell="L25" sqref="L25"/>
    </sheetView>
  </sheetViews>
  <sheetFormatPr baseColWidth="10" defaultColWidth="8.83203125" defaultRowHeight="15" x14ac:dyDescent="0.2"/>
  <cols>
    <col min="1" max="1" width="32.1640625" customWidth="1"/>
    <col min="2" max="2" width="9.33203125" customWidth="1"/>
    <col min="4" max="4" width="11.6640625" customWidth="1"/>
    <col min="5" max="5" width="31" customWidth="1"/>
    <col min="6" max="6" width="14" customWidth="1"/>
    <col min="7" max="7" width="30" customWidth="1"/>
    <col min="8" max="8" width="14" customWidth="1"/>
    <col min="9" max="9" width="30" customWidth="1"/>
    <col min="10" max="10" width="29" customWidth="1"/>
    <col min="11" max="11" width="19" customWidth="1"/>
    <col min="12" max="12" width="18" customWidth="1"/>
    <col min="13" max="13" width="17.6640625" customWidth="1"/>
    <col min="14" max="14" width="20.1640625" customWidth="1"/>
    <col min="15" max="15" width="18" customWidth="1"/>
    <col min="16" max="16" width="17.6640625" customWidth="1"/>
  </cols>
  <sheetData>
    <row r="1" spans="1:13" ht="13.5" customHeight="1" x14ac:dyDescent="0.2">
      <c r="A1" s="5" t="s">
        <v>15</v>
      </c>
      <c r="B1" s="3"/>
      <c r="C1" s="2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</row>
    <row r="2" spans="1:13" x14ac:dyDescent="0.2">
      <c r="A2" s="6"/>
      <c r="B2" t="s">
        <v>27</v>
      </c>
      <c r="C2" s="4">
        <v>1</v>
      </c>
      <c r="D2">
        <f>Metingen!E2-Metingen!F2</f>
        <v>1.6999999999999904E-2</v>
      </c>
      <c r="E2">
        <f t="shared" ref="E2:E26" si="0">D2/2</f>
        <v>8.499999999999952E-3</v>
      </c>
      <c r="F2">
        <f>Metingen!D2</f>
        <v>1.2549999999999999</v>
      </c>
      <c r="G2">
        <f t="shared" ref="G2:G26" si="1">E2/(2*F2)</f>
        <v>3.3864541832669135E-3</v>
      </c>
      <c r="H2">
        <f t="shared" ref="H2:H26" si="2">G2/PI()*180</f>
        <v>0.19402953221561636</v>
      </c>
      <c r="I2">
        <f>Metingen!C2/$A$4</f>
        <v>1.0031298904538339</v>
      </c>
      <c r="J2">
        <f t="shared" ref="J2:J26" si="3">$A$16*I2</f>
        <v>0.81142441849107527</v>
      </c>
      <c r="K2">
        <f t="shared" ref="K2:K26" si="4">J2*10^(-3)</f>
        <v>8.1142441849107528E-4</v>
      </c>
      <c r="L2">
        <f t="shared" ref="L2:L26" si="5">G2/(K2*$A$10)</f>
        <v>20.867342084456634</v>
      </c>
      <c r="M2">
        <f t="shared" ref="M2:M26" si="6">L2/PI()*180</f>
        <v>1195.6106310950909</v>
      </c>
    </row>
    <row r="3" spans="1:13" x14ac:dyDescent="0.2">
      <c r="A3" s="4" t="s">
        <v>28</v>
      </c>
      <c r="C3" s="4">
        <v>2</v>
      </c>
      <c r="D3">
        <f>Metingen!E3-Metingen!F3</f>
        <v>2.0000000000000018E-2</v>
      </c>
      <c r="E3">
        <f t="shared" si="0"/>
        <v>1.0000000000000009E-2</v>
      </c>
      <c r="F3">
        <f>Metingen!D3</f>
        <v>1.256</v>
      </c>
      <c r="G3">
        <f t="shared" si="1"/>
        <v>3.9808917197452264E-3</v>
      </c>
      <c r="H3">
        <f t="shared" si="2"/>
        <v>0.22808829423997759</v>
      </c>
      <c r="I3">
        <f>Metingen!C3/$A$4</f>
        <v>1.0125195618153364</v>
      </c>
      <c r="J3">
        <f t="shared" si="3"/>
        <v>0.81901965485760642</v>
      </c>
      <c r="K3">
        <f t="shared" si="4"/>
        <v>8.1901965485760644E-4</v>
      </c>
      <c r="L3">
        <f t="shared" si="5"/>
        <v>24.302785019471468</v>
      </c>
      <c r="M3">
        <f t="shared" si="6"/>
        <v>1392.4470120294775</v>
      </c>
    </row>
    <row r="4" spans="1:13" x14ac:dyDescent="0.2">
      <c r="A4" s="4">
        <v>63.9</v>
      </c>
      <c r="C4" s="4">
        <v>3</v>
      </c>
      <c r="D4">
        <f>Metingen!E4-Metingen!F4</f>
        <v>2.0000000000000018E-2</v>
      </c>
      <c r="E4">
        <f t="shared" si="0"/>
        <v>1.0000000000000009E-2</v>
      </c>
      <c r="F4">
        <f>Metingen!D4</f>
        <v>1.25</v>
      </c>
      <c r="G4">
        <f t="shared" si="1"/>
        <v>4.0000000000000036E-3</v>
      </c>
      <c r="H4">
        <f t="shared" si="2"/>
        <v>0.22918311805232949</v>
      </c>
      <c r="I4">
        <f>Metingen!C4/$A$4</f>
        <v>1.0031298904538339</v>
      </c>
      <c r="J4">
        <f t="shared" si="3"/>
        <v>0.81142441849107527</v>
      </c>
      <c r="K4">
        <f t="shared" si="4"/>
        <v>8.1142441849107528E-4</v>
      </c>
      <c r="L4">
        <f t="shared" si="5"/>
        <v>24.648013473875995</v>
      </c>
      <c r="M4">
        <f t="shared" si="6"/>
        <v>1412.2271454346812</v>
      </c>
    </row>
    <row r="5" spans="1:13" x14ac:dyDescent="0.2">
      <c r="A5" s="4"/>
      <c r="C5" s="4">
        <v>4</v>
      </c>
      <c r="D5">
        <f>Metingen!E5-Metingen!F5</f>
        <v>2.4999999999999911E-2</v>
      </c>
      <c r="E5">
        <f t="shared" si="0"/>
        <v>1.2499999999999956E-2</v>
      </c>
      <c r="F5">
        <f>Metingen!D5</f>
        <v>1.2669999999999999</v>
      </c>
      <c r="G5">
        <f t="shared" si="1"/>
        <v>4.9329123914759101E-3</v>
      </c>
      <c r="H5">
        <f t="shared" si="2"/>
        <v>0.28263506073935535</v>
      </c>
      <c r="I5">
        <f>Metingen!C5/$A$4</f>
        <v>1.0015649452269171</v>
      </c>
      <c r="J5">
        <f t="shared" si="3"/>
        <v>0.81015854576332025</v>
      </c>
      <c r="K5">
        <f t="shared" si="4"/>
        <v>8.1015854576332023E-4</v>
      </c>
      <c r="L5">
        <f t="shared" si="5"/>
        <v>30.444117495719233</v>
      </c>
      <c r="M5">
        <f t="shared" si="6"/>
        <v>1744.3194435051012</v>
      </c>
    </row>
    <row r="6" spans="1:13" x14ac:dyDescent="0.2">
      <c r="A6" s="6" t="s">
        <v>29</v>
      </c>
      <c r="B6" s="7"/>
      <c r="C6" s="2">
        <v>5</v>
      </c>
      <c r="D6" s="3">
        <f>Metingen!E6-Metingen!F6</f>
        <v>2.4999999999999911E-2</v>
      </c>
      <c r="E6" s="3">
        <f t="shared" si="0"/>
        <v>1.2499999999999956E-2</v>
      </c>
      <c r="F6" s="3">
        <f>Metingen!D6</f>
        <v>1.262</v>
      </c>
      <c r="G6" s="3">
        <f t="shared" si="1"/>
        <v>4.9524564183835006E-3</v>
      </c>
      <c r="H6" s="3">
        <f t="shared" si="2"/>
        <v>0.28375485099585046</v>
      </c>
      <c r="I6" s="3">
        <f>Metingen!C6/$A$4</f>
        <v>0.77464788732394363</v>
      </c>
      <c r="J6" s="3">
        <f t="shared" si="3"/>
        <v>0.62660700023881788</v>
      </c>
      <c r="K6" s="3">
        <f t="shared" si="4"/>
        <v>6.2660700023881792E-4</v>
      </c>
      <c r="L6" s="3">
        <f t="shared" si="5"/>
        <v>39.518042540986428</v>
      </c>
      <c r="M6" s="3">
        <f t="shared" si="6"/>
        <v>2264.2170522169658</v>
      </c>
    </row>
    <row r="7" spans="1:13" x14ac:dyDescent="0.2">
      <c r="A7" s="6">
        <v>200</v>
      </c>
      <c r="B7" t="s">
        <v>30</v>
      </c>
      <c r="C7" s="4">
        <v>1</v>
      </c>
      <c r="D7">
        <f>Metingen!E7-Metingen!F7</f>
        <v>1.8000000000000016E-2</v>
      </c>
      <c r="E7">
        <f t="shared" si="0"/>
        <v>9.000000000000008E-3</v>
      </c>
      <c r="F7">
        <f>Metingen!D7</f>
        <v>1.246</v>
      </c>
      <c r="G7">
        <f t="shared" si="1"/>
        <v>3.6115569823435023E-3</v>
      </c>
      <c r="H7">
        <f t="shared" si="2"/>
        <v>0.20692697255928624</v>
      </c>
      <c r="I7">
        <f>Metingen!C7/$A$4</f>
        <v>0.90140845070422537</v>
      </c>
      <c r="J7">
        <f t="shared" si="3"/>
        <v>0.72914269118698816</v>
      </c>
      <c r="K7">
        <f t="shared" si="4"/>
        <v>7.2914269118698818E-4</v>
      </c>
      <c r="L7">
        <f t="shared" si="5"/>
        <v>24.765776479663849</v>
      </c>
      <c r="M7">
        <f t="shared" si="6"/>
        <v>1418.9744686491001</v>
      </c>
    </row>
    <row r="8" spans="1:13" x14ac:dyDescent="0.2">
      <c r="A8" s="6"/>
      <c r="C8" s="4">
        <v>2</v>
      </c>
      <c r="D8">
        <f>Metingen!E8-Metingen!F8</f>
        <v>1.8000000000000016E-2</v>
      </c>
      <c r="E8">
        <f t="shared" si="0"/>
        <v>9.000000000000008E-3</v>
      </c>
      <c r="F8">
        <f>Metingen!D8</f>
        <v>1.2529999999999999</v>
      </c>
      <c r="G8">
        <f t="shared" si="1"/>
        <v>3.5913806863527571E-3</v>
      </c>
      <c r="H8">
        <f t="shared" si="2"/>
        <v>0.20577095595280984</v>
      </c>
      <c r="I8">
        <f>Metingen!C8/$A$4</f>
        <v>0.89827856025039121</v>
      </c>
      <c r="J8">
        <f t="shared" si="3"/>
        <v>0.72661094573147778</v>
      </c>
      <c r="K8">
        <f t="shared" si="4"/>
        <v>7.2661094573147776E-4</v>
      </c>
      <c r="L8">
        <f t="shared" si="5"/>
        <v>24.713230012915105</v>
      </c>
      <c r="M8">
        <f t="shared" si="6"/>
        <v>1415.9637778760725</v>
      </c>
    </row>
    <row r="9" spans="1:13" x14ac:dyDescent="0.2">
      <c r="A9" s="6" t="s">
        <v>31</v>
      </c>
      <c r="C9" s="4">
        <v>3</v>
      </c>
      <c r="D9">
        <f>Metingen!E9-Metingen!F9</f>
        <v>2.0000000000000018E-2</v>
      </c>
      <c r="E9">
        <f t="shared" si="0"/>
        <v>1.0000000000000009E-2</v>
      </c>
      <c r="F9">
        <f>Metingen!D9</f>
        <v>1.2450000000000001</v>
      </c>
      <c r="G9">
        <f t="shared" si="1"/>
        <v>4.0160642570281156E-3</v>
      </c>
      <c r="H9">
        <f t="shared" si="2"/>
        <v>0.23010353218105367</v>
      </c>
      <c r="I9">
        <f>Metingen!C9/$A$4</f>
        <v>0.9061032863849765</v>
      </c>
      <c r="J9">
        <f t="shared" si="3"/>
        <v>0.73294030937025367</v>
      </c>
      <c r="K9">
        <f t="shared" si="4"/>
        <v>7.3294030937025366E-4</v>
      </c>
      <c r="L9">
        <f t="shared" si="5"/>
        <v>27.396939462087573</v>
      </c>
      <c r="M9">
        <f t="shared" si="6"/>
        <v>1569.7290027530339</v>
      </c>
    </row>
    <row r="10" spans="1:13" x14ac:dyDescent="0.2">
      <c r="A10" s="6">
        <v>0.2</v>
      </c>
      <c r="C10" s="4">
        <v>4</v>
      </c>
      <c r="D10">
        <f>Metingen!E10-Metingen!F10</f>
        <v>1.9999999999999796E-2</v>
      </c>
      <c r="E10">
        <f t="shared" si="0"/>
        <v>9.9999999999998979E-3</v>
      </c>
      <c r="F10">
        <f>Metingen!D10</f>
        <v>1.2430000000000001</v>
      </c>
      <c r="G10">
        <f t="shared" si="1"/>
        <v>4.0225261464199103E-3</v>
      </c>
      <c r="H10">
        <f t="shared" si="2"/>
        <v>0.23047377117088388</v>
      </c>
      <c r="I10">
        <f>Metingen!C10/$A$4</f>
        <v>0.90453834115805942</v>
      </c>
      <c r="J10">
        <f t="shared" si="3"/>
        <v>0.73167443664249854</v>
      </c>
      <c r="K10">
        <f t="shared" si="4"/>
        <v>7.316744366424985E-4</v>
      </c>
      <c r="L10">
        <f t="shared" si="5"/>
        <v>27.48849723982735</v>
      </c>
      <c r="M10">
        <f t="shared" si="6"/>
        <v>1574.9748769991197</v>
      </c>
    </row>
    <row r="11" spans="1:13" x14ac:dyDescent="0.2">
      <c r="A11" s="4"/>
      <c r="B11" s="7"/>
      <c r="C11" s="2">
        <v>5</v>
      </c>
      <c r="D11" s="3">
        <f>Metingen!E11-Metingen!F11</f>
        <v>1.6999999999999904E-2</v>
      </c>
      <c r="E11" s="3">
        <f t="shared" si="0"/>
        <v>8.499999999999952E-3</v>
      </c>
      <c r="F11" s="3">
        <f>Metingen!D11</f>
        <v>1.25</v>
      </c>
      <c r="G11" s="3">
        <f t="shared" si="1"/>
        <v>3.3999999999999807E-3</v>
      </c>
      <c r="H11" s="3">
        <f t="shared" si="2"/>
        <v>0.1948056503444788</v>
      </c>
      <c r="I11" s="3">
        <f>Metingen!C11/$A$4</f>
        <v>0.65571205007824729</v>
      </c>
      <c r="J11" s="3">
        <f t="shared" si="3"/>
        <v>0.53040067292942372</v>
      </c>
      <c r="K11" s="3">
        <f t="shared" si="4"/>
        <v>5.3040067292942376E-4</v>
      </c>
      <c r="L11" s="3">
        <f t="shared" si="5"/>
        <v>32.051241387210609</v>
      </c>
      <c r="M11" s="3">
        <f t="shared" si="6"/>
        <v>1836.4008596421979</v>
      </c>
    </row>
    <row r="12" spans="1:13" x14ac:dyDescent="0.2">
      <c r="A12" s="6" t="s">
        <v>32</v>
      </c>
      <c r="B12" t="s">
        <v>33</v>
      </c>
      <c r="C12" s="4">
        <v>1</v>
      </c>
      <c r="D12">
        <f>Metingen!E12-Metingen!F12</f>
        <v>2.0999999999999908E-2</v>
      </c>
      <c r="E12">
        <f t="shared" si="0"/>
        <v>1.0499999999999954E-2</v>
      </c>
      <c r="F12">
        <f>Metingen!D12</f>
        <v>1.2589999999999999</v>
      </c>
      <c r="G12">
        <f t="shared" si="1"/>
        <v>4.1699761715647161E-3</v>
      </c>
      <c r="H12">
        <f t="shared" si="2"/>
        <v>0.23892203530077913</v>
      </c>
      <c r="I12">
        <f>Metingen!C12/$A$4</f>
        <v>1.2097026604068857</v>
      </c>
      <c r="J12">
        <f t="shared" si="3"/>
        <v>0.97851961855476011</v>
      </c>
      <c r="K12">
        <f t="shared" si="4"/>
        <v>9.7851961855476011E-4</v>
      </c>
      <c r="L12">
        <f t="shared" si="5"/>
        <v>21.307575711786075</v>
      </c>
      <c r="M12">
        <f t="shared" si="6"/>
        <v>1220.8341599408031</v>
      </c>
    </row>
    <row r="13" spans="1:13" x14ac:dyDescent="0.2">
      <c r="A13" s="6">
        <v>1</v>
      </c>
      <c r="C13" s="4">
        <v>2</v>
      </c>
      <c r="D13">
        <f>Metingen!E13-Metingen!F13</f>
        <v>2.200000000000002E-2</v>
      </c>
      <c r="E13">
        <f t="shared" si="0"/>
        <v>1.100000000000001E-2</v>
      </c>
      <c r="F13">
        <f>Metingen!D13</f>
        <v>1.27</v>
      </c>
      <c r="G13">
        <f t="shared" si="1"/>
        <v>4.3307086614173262E-3</v>
      </c>
      <c r="H13">
        <f t="shared" si="2"/>
        <v>0.24813132859996301</v>
      </c>
      <c r="I13">
        <f>Metingen!C13/$A$4</f>
        <v>1.2065727699530515</v>
      </c>
      <c r="J13">
        <f t="shared" si="3"/>
        <v>0.97598787309924973</v>
      </c>
      <c r="K13">
        <f t="shared" si="4"/>
        <v>9.7598787309924979E-4</v>
      </c>
      <c r="L13">
        <f t="shared" si="5"/>
        <v>22.18628315362751</v>
      </c>
      <c r="M13">
        <f t="shared" si="6"/>
        <v>1271.1803877850546</v>
      </c>
    </row>
    <row r="14" spans="1:13" x14ac:dyDescent="0.2">
      <c r="A14" s="6"/>
      <c r="C14" s="4">
        <v>3</v>
      </c>
      <c r="D14">
        <f>Metingen!E14-Metingen!F14</f>
        <v>2.2999999999999909E-2</v>
      </c>
      <c r="E14">
        <f t="shared" si="0"/>
        <v>1.1499999999999955E-2</v>
      </c>
      <c r="F14">
        <f>Metingen!D14</f>
        <v>1.2709999999999999</v>
      </c>
      <c r="G14">
        <f t="shared" si="1"/>
        <v>4.5239968528717374E-3</v>
      </c>
      <c r="H14">
        <f t="shared" si="2"/>
        <v>0.25920592620001742</v>
      </c>
      <c r="I14">
        <f>Metingen!C14/$A$4</f>
        <v>1.2065727699530515</v>
      </c>
      <c r="J14">
        <f t="shared" si="3"/>
        <v>0.97598787309924973</v>
      </c>
      <c r="K14">
        <f t="shared" si="4"/>
        <v>9.7598787309924979E-4</v>
      </c>
      <c r="L14">
        <f t="shared" si="5"/>
        <v>23.17650135603521</v>
      </c>
      <c r="M14">
        <f t="shared" si="6"/>
        <v>1327.9157115800467</v>
      </c>
    </row>
    <row r="15" spans="1:13" x14ac:dyDescent="0.2">
      <c r="A15" s="6" t="s">
        <v>34</v>
      </c>
      <c r="C15" s="4">
        <v>4</v>
      </c>
      <c r="D15">
        <f>Metingen!E15-Metingen!F15</f>
        <v>2.8999999999999915E-2</v>
      </c>
      <c r="E15">
        <f t="shared" si="0"/>
        <v>1.4499999999999957E-2</v>
      </c>
      <c r="F15">
        <f>Metingen!D15</f>
        <v>1.252</v>
      </c>
      <c r="G15">
        <f t="shared" si="1"/>
        <v>5.7907348242811334E-3</v>
      </c>
      <c r="H15">
        <f t="shared" si="2"/>
        <v>0.33178466571073933</v>
      </c>
      <c r="I15">
        <f>Metingen!C15/$A$4</f>
        <v>1.1987480438184663</v>
      </c>
      <c r="J15">
        <f t="shared" si="3"/>
        <v>0.96965850946047383</v>
      </c>
      <c r="K15">
        <f t="shared" si="4"/>
        <v>9.6965850946047389E-4</v>
      </c>
      <c r="L15">
        <f t="shared" si="5"/>
        <v>29.859660735113572</v>
      </c>
      <c r="M15">
        <f t="shared" si="6"/>
        <v>1710.8325378145087</v>
      </c>
    </row>
    <row r="16" spans="1:13" x14ac:dyDescent="0.2">
      <c r="A16" s="6">
        <f>(A19/$A$7)*10^(3)</f>
        <v>0.808892673035565</v>
      </c>
      <c r="B16" s="7"/>
      <c r="C16" s="2">
        <v>5</v>
      </c>
      <c r="D16" s="3">
        <f>Metingen!E16-Metingen!F16</f>
        <v>1.9000000000000128E-2</v>
      </c>
      <c r="E16" s="3">
        <f t="shared" si="0"/>
        <v>9.5000000000000639E-3</v>
      </c>
      <c r="F16" s="3">
        <f>Metingen!D16</f>
        <v>1.2789999999999999</v>
      </c>
      <c r="G16" s="3">
        <f t="shared" si="1"/>
        <v>3.7138389366692982E-3</v>
      </c>
      <c r="H16" s="3">
        <f t="shared" si="2"/>
        <v>0.21278729686250419</v>
      </c>
      <c r="I16" s="3">
        <f>Metingen!C16/$A$4</f>
        <v>0.54460093896713613</v>
      </c>
      <c r="J16" s="3">
        <f t="shared" si="3"/>
        <v>0.44052370925880535</v>
      </c>
      <c r="K16" s="3">
        <f t="shared" si="4"/>
        <v>4.4052370925880534E-4</v>
      </c>
      <c r="L16" s="3">
        <f t="shared" si="5"/>
        <v>42.152543195892292</v>
      </c>
      <c r="M16" s="3">
        <f t="shared" si="6"/>
        <v>2415.1628208675234</v>
      </c>
    </row>
    <row r="17" spans="1:17" x14ac:dyDescent="0.2">
      <c r="A17" s="6"/>
      <c r="B17" t="s">
        <v>35</v>
      </c>
      <c r="C17" s="4">
        <v>1</v>
      </c>
      <c r="D17">
        <f>Metingen!E17-Metingen!F17</f>
        <v>1.6000000000000014E-2</v>
      </c>
      <c r="E17">
        <f t="shared" si="0"/>
        <v>8.0000000000000071E-3</v>
      </c>
      <c r="F17">
        <f>Metingen!D17</f>
        <v>1.254</v>
      </c>
      <c r="G17">
        <f t="shared" si="1"/>
        <v>3.1897926634768766E-3</v>
      </c>
      <c r="H17">
        <f t="shared" si="2"/>
        <v>0.18276165713901871</v>
      </c>
      <c r="I17">
        <f>Metingen!C17/$A$4</f>
        <v>0.78247261345852892</v>
      </c>
      <c r="J17">
        <f t="shared" si="3"/>
        <v>0.63293636387759389</v>
      </c>
      <c r="K17">
        <f t="shared" si="4"/>
        <v>6.3293636387759392E-4</v>
      </c>
      <c r="L17">
        <f t="shared" si="5"/>
        <v>25.198367841713733</v>
      </c>
      <c r="M17">
        <f t="shared" si="6"/>
        <v>1443.7601279483742</v>
      </c>
    </row>
    <row r="18" spans="1:17" x14ac:dyDescent="0.2">
      <c r="A18" s="6" t="s">
        <v>36</v>
      </c>
      <c r="C18" s="4">
        <v>2</v>
      </c>
      <c r="D18">
        <f>Metingen!E18-Metingen!F18</f>
        <v>1.8000000000000016E-2</v>
      </c>
      <c r="E18">
        <f t="shared" si="0"/>
        <v>9.000000000000008E-3</v>
      </c>
      <c r="F18">
        <f>Metingen!D18</f>
        <v>1.2729999999999999</v>
      </c>
      <c r="G18">
        <f t="shared" si="1"/>
        <v>3.5349567949725094E-3</v>
      </c>
      <c r="H18">
        <f t="shared" si="2"/>
        <v>0.20253810511301706</v>
      </c>
      <c r="I18">
        <f>Metingen!C18/$A$4</f>
        <v>0.784037558685446</v>
      </c>
      <c r="J18">
        <f t="shared" si="3"/>
        <v>0.63420223660534913</v>
      </c>
      <c r="K18">
        <f t="shared" si="4"/>
        <v>6.3420223660534919E-4</v>
      </c>
      <c r="L18">
        <f t="shared" si="5"/>
        <v>27.869318262687234</v>
      </c>
      <c r="M18">
        <f t="shared" si="6"/>
        <v>1596.7943143588461</v>
      </c>
    </row>
    <row r="19" spans="1:17" x14ac:dyDescent="0.2">
      <c r="A19" s="6">
        <v>0.161778534607113</v>
      </c>
      <c r="C19" s="4">
        <v>3</v>
      </c>
      <c r="D19">
        <f>Metingen!E19-Metingen!F19</f>
        <v>1.9000000000000128E-2</v>
      </c>
      <c r="E19">
        <f t="shared" si="0"/>
        <v>9.5000000000000639E-3</v>
      </c>
      <c r="F19">
        <f>Metingen!D19</f>
        <v>1.2729999999999999</v>
      </c>
      <c r="G19">
        <f t="shared" si="1"/>
        <v>3.7313432835821151E-3</v>
      </c>
      <c r="H19">
        <f t="shared" si="2"/>
        <v>0.21379022206374149</v>
      </c>
      <c r="I19">
        <f>Metingen!C19/$A$4</f>
        <v>0.78247261345852892</v>
      </c>
      <c r="J19">
        <f t="shared" si="3"/>
        <v>0.63293636387759389</v>
      </c>
      <c r="K19">
        <f t="shared" si="4"/>
        <v>6.3293636387759392E-4</v>
      </c>
      <c r="L19">
        <f t="shared" si="5"/>
        <v>29.47644894916904</v>
      </c>
      <c r="M19">
        <f t="shared" si="6"/>
        <v>1688.8761198202164</v>
      </c>
    </row>
    <row r="20" spans="1:17" x14ac:dyDescent="0.2">
      <c r="A20" s="6"/>
      <c r="C20" s="4">
        <v>4</v>
      </c>
      <c r="D20">
        <f>Metingen!E20-Metingen!F20</f>
        <v>1.9000000000000128E-2</v>
      </c>
      <c r="E20">
        <f t="shared" si="0"/>
        <v>9.5000000000000639E-3</v>
      </c>
      <c r="F20">
        <f>Metingen!D20</f>
        <v>1.2749999999999999</v>
      </c>
      <c r="G20">
        <f t="shared" si="1"/>
        <v>3.7254901960784566E-3</v>
      </c>
      <c r="H20">
        <f t="shared" si="2"/>
        <v>0.21345486485266107</v>
      </c>
      <c r="I20">
        <f>Metingen!C20/$A$4</f>
        <v>0.78247261345852892</v>
      </c>
      <c r="J20">
        <f t="shared" si="3"/>
        <v>0.63293636387759389</v>
      </c>
      <c r="K20">
        <f t="shared" si="4"/>
        <v>6.3293636387759392E-4</v>
      </c>
      <c r="L20">
        <f t="shared" si="5"/>
        <v>29.430211382189949</v>
      </c>
      <c r="M20">
        <f t="shared" si="6"/>
        <v>1686.2269023773611</v>
      </c>
    </row>
    <row r="21" spans="1:17" x14ac:dyDescent="0.2">
      <c r="A21" s="4" t="s">
        <v>37</v>
      </c>
      <c r="B21" s="7"/>
      <c r="C21" s="2">
        <v>5</v>
      </c>
      <c r="D21" s="3">
        <f>Metingen!E21-Metingen!F21</f>
        <v>1.3000000000000123E-2</v>
      </c>
      <c r="E21" s="3">
        <f t="shared" si="0"/>
        <v>6.5000000000000613E-3</v>
      </c>
      <c r="F21" s="3">
        <f>Metingen!D21</f>
        <v>1.2729999999999999</v>
      </c>
      <c r="G21" s="3">
        <f t="shared" si="1"/>
        <v>2.5530243519246119E-3</v>
      </c>
      <c r="H21" s="3">
        <f t="shared" si="2"/>
        <v>0.14627752035940245</v>
      </c>
      <c r="I21" s="3">
        <f>Metingen!C21/$A$4</f>
        <v>0.40845070422535212</v>
      </c>
      <c r="J21" s="3">
        <f t="shared" si="3"/>
        <v>0.33039278194410404</v>
      </c>
      <c r="K21" s="3">
        <f t="shared" si="4"/>
        <v>3.3039278194410408E-4</v>
      </c>
      <c r="L21" s="3">
        <f t="shared" si="5"/>
        <v>38.636200477838123</v>
      </c>
      <c r="M21" s="3">
        <f t="shared" si="6"/>
        <v>2213.6912238014593</v>
      </c>
    </row>
    <row r="22" spans="1:17" x14ac:dyDescent="0.2">
      <c r="A22" s="6">
        <f>$A$19*(10^(-3))</f>
        <v>1.6177853460711301E-4</v>
      </c>
      <c r="B22" t="s">
        <v>38</v>
      </c>
      <c r="C22" s="4">
        <v>1</v>
      </c>
      <c r="D22">
        <f>Metingen!E22-Metingen!F22</f>
        <v>1.1999999999999789E-2</v>
      </c>
      <c r="E22">
        <f t="shared" si="0"/>
        <v>5.9999999999998943E-3</v>
      </c>
      <c r="F22">
        <f>Metingen!D22</f>
        <v>1.2509999999999999</v>
      </c>
      <c r="G22">
        <f t="shared" si="1"/>
        <v>2.39808153477214E-3</v>
      </c>
      <c r="H22">
        <f t="shared" si="2"/>
        <v>0.13739995087069859</v>
      </c>
      <c r="I22">
        <f>Metingen!C22/$A$4</f>
        <v>0.47730829420970267</v>
      </c>
      <c r="J22">
        <f t="shared" si="3"/>
        <v>0.38609118196533226</v>
      </c>
      <c r="K22">
        <f t="shared" si="4"/>
        <v>3.8609118196533226E-4</v>
      </c>
      <c r="L22">
        <f t="shared" si="5"/>
        <v>31.055896207796156</v>
      </c>
      <c r="M22">
        <f t="shared" si="6"/>
        <v>1779.3717817030579</v>
      </c>
    </row>
    <row r="23" spans="1:17" x14ac:dyDescent="0.2">
      <c r="A23" s="6"/>
      <c r="C23" s="4">
        <v>2</v>
      </c>
      <c r="D23">
        <f>Metingen!E23-Metingen!F23</f>
        <v>1.3000000000000123E-2</v>
      </c>
      <c r="E23">
        <f t="shared" si="0"/>
        <v>6.5000000000000613E-3</v>
      </c>
      <c r="F23">
        <f>Metingen!D23</f>
        <v>1.2589999999999999</v>
      </c>
      <c r="G23">
        <f t="shared" si="1"/>
        <v>2.5814138204924789E-3</v>
      </c>
      <c r="H23">
        <f t="shared" si="2"/>
        <v>0.14790411709096055</v>
      </c>
      <c r="I23">
        <f>Metingen!C23/$A$4</f>
        <v>0.47417840375586856</v>
      </c>
      <c r="J23">
        <f t="shared" si="3"/>
        <v>0.38355943650982194</v>
      </c>
      <c r="K23">
        <f t="shared" si="4"/>
        <v>3.8355943650982195E-4</v>
      </c>
      <c r="L23">
        <f t="shared" si="5"/>
        <v>33.650766671026425</v>
      </c>
      <c r="M23">
        <f t="shared" si="6"/>
        <v>1928.0469076293093</v>
      </c>
    </row>
    <row r="24" spans="1:17" x14ac:dyDescent="0.2">
      <c r="A24" s="6" t="s">
        <v>39</v>
      </c>
      <c r="C24" s="4">
        <v>3</v>
      </c>
      <c r="D24">
        <f>Metingen!E24-Metingen!F24</f>
        <v>1.0999999999999899E-2</v>
      </c>
      <c r="E24">
        <f t="shared" si="0"/>
        <v>5.4999999999999494E-3</v>
      </c>
      <c r="F24">
        <f>Metingen!D24</f>
        <v>1.2749999999999999</v>
      </c>
      <c r="G24">
        <f t="shared" si="1"/>
        <v>2.1568627450980196E-3</v>
      </c>
      <c r="H24">
        <f t="shared" si="2"/>
        <v>0.12357913228311762</v>
      </c>
      <c r="I24">
        <f>Metingen!C24/$A$4</f>
        <v>0.46948356807511737</v>
      </c>
      <c r="J24">
        <f t="shared" si="3"/>
        <v>0.37976181832655637</v>
      </c>
      <c r="K24">
        <f t="shared" si="4"/>
        <v>3.7976181832655636E-4</v>
      </c>
      <c r="L24">
        <f t="shared" si="5"/>
        <v>28.39757238632318</v>
      </c>
      <c r="M24">
        <f t="shared" si="6"/>
        <v>1627.0610461535678</v>
      </c>
    </row>
    <row r="25" spans="1:17" x14ac:dyDescent="0.2">
      <c r="A25" s="6">
        <v>635</v>
      </c>
      <c r="C25" s="4">
        <v>4</v>
      </c>
      <c r="D25">
        <f>Metingen!E25-Metingen!F25</f>
        <v>1.2000000000000011E-2</v>
      </c>
      <c r="E25">
        <f t="shared" si="0"/>
        <v>6.0000000000000053E-3</v>
      </c>
      <c r="F25">
        <f>Metingen!D25</f>
        <v>1.2649999999999999</v>
      </c>
      <c r="G25">
        <f t="shared" si="1"/>
        <v>2.3715415019762869E-3</v>
      </c>
      <c r="H25">
        <f t="shared" si="2"/>
        <v>0.13587931900335742</v>
      </c>
      <c r="I25">
        <f>Metingen!C25/$A$4</f>
        <v>0.46948356807511737</v>
      </c>
      <c r="J25">
        <f t="shared" si="3"/>
        <v>0.37976181832655637</v>
      </c>
      <c r="K25">
        <f t="shared" si="4"/>
        <v>3.7976181832655636E-4</v>
      </c>
      <c r="L25">
        <f t="shared" si="5"/>
        <v>31.224064499514842</v>
      </c>
      <c r="M25">
        <f t="shared" si="6"/>
        <v>1789.0071150664635</v>
      </c>
    </row>
    <row r="26" spans="1:17" x14ac:dyDescent="0.2">
      <c r="A26" s="6"/>
      <c r="C26" s="4">
        <v>5</v>
      </c>
      <c r="D26">
        <f>Metingen!E26-Metingen!F26</f>
        <v>1.0999999999999899E-2</v>
      </c>
      <c r="E26">
        <f t="shared" si="0"/>
        <v>5.4999999999999494E-3</v>
      </c>
      <c r="F26">
        <f>Metingen!D26</f>
        <v>1.2509999999999999</v>
      </c>
      <c r="G26">
        <f t="shared" si="1"/>
        <v>2.1982414068744804E-3</v>
      </c>
      <c r="H26">
        <f t="shared" si="2"/>
        <v>0.12594995496480813</v>
      </c>
      <c r="I26">
        <f>Metingen!C26/$A$4</f>
        <v>0.3129890453834116</v>
      </c>
      <c r="J26">
        <f t="shared" si="3"/>
        <v>0.25317454555103758</v>
      </c>
      <c r="K26">
        <f t="shared" si="4"/>
        <v>2.5317454555103756E-4</v>
      </c>
      <c r="L26">
        <f t="shared" si="5"/>
        <v>43.41355490714875</v>
      </c>
      <c r="M26">
        <f t="shared" si="6"/>
        <v>2487.4134698390881</v>
      </c>
    </row>
    <row r="27" spans="1:17" x14ac:dyDescent="0.2">
      <c r="A27" s="8"/>
      <c r="Q27" s="9"/>
    </row>
    <row r="28" spans="1:17" x14ac:dyDescent="0.2">
      <c r="A28" s="8"/>
      <c r="Q28" s="9"/>
    </row>
    <row r="29" spans="1:17" x14ac:dyDescent="0.2">
      <c r="A29" s="8"/>
      <c r="Q29" s="9"/>
    </row>
    <row r="30" spans="1:17" x14ac:dyDescent="0.2">
      <c r="A30" s="8"/>
      <c r="Q30" s="9"/>
    </row>
    <row r="31" spans="1:17" x14ac:dyDescent="0.2">
      <c r="A31" s="8"/>
      <c r="Q31" s="9"/>
    </row>
    <row r="32" spans="1:17" x14ac:dyDescent="0.2">
      <c r="A32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"/>
  <sheetViews>
    <sheetView tabSelected="1" zoomScaleNormal="100" workbookViewId="0">
      <selection activeCell="N1" sqref="N1"/>
    </sheetView>
  </sheetViews>
  <sheetFormatPr baseColWidth="10" defaultColWidth="8.83203125" defaultRowHeight="15" x14ac:dyDescent="0.2"/>
  <cols>
    <col min="1" max="1" width="32.1640625" customWidth="1"/>
    <col min="2" max="2" width="9.33203125" customWidth="1"/>
    <col min="4" max="4" width="11.6640625" customWidth="1"/>
    <col min="5" max="5" width="7.6640625" customWidth="1"/>
    <col min="6" max="6" width="9.1640625" customWidth="1"/>
    <col min="7" max="7" width="9" customWidth="1"/>
    <col min="8" max="8" width="8" customWidth="1"/>
    <col min="9" max="9" width="8.33203125" customWidth="1"/>
    <col min="10" max="10" width="8" customWidth="1"/>
    <col min="11" max="11" width="7.83203125" customWidth="1"/>
    <col min="12" max="12" width="8.33203125" customWidth="1"/>
    <col min="13" max="13" width="12.1640625" bestFit="1" customWidth="1"/>
    <col min="14" max="14" width="19.5" customWidth="1"/>
    <col min="15" max="15" width="12.1640625" bestFit="1" customWidth="1"/>
    <col min="16" max="16" width="8.33203125" bestFit="1" customWidth="1"/>
    <col min="17" max="17" width="17.1640625" bestFit="1" customWidth="1"/>
    <col min="18" max="19" width="12.1640625" bestFit="1" customWidth="1"/>
    <col min="20" max="20" width="13" bestFit="1" customWidth="1"/>
    <col min="21" max="21" width="18" customWidth="1"/>
    <col min="22" max="22" width="17.6640625" customWidth="1"/>
  </cols>
  <sheetData>
    <row r="1" spans="1:20" ht="13.5" customHeight="1" x14ac:dyDescent="0.2">
      <c r="A1" s="5" t="s">
        <v>15</v>
      </c>
      <c r="B1" s="3"/>
      <c r="C1" s="2" t="s">
        <v>16</v>
      </c>
      <c r="D1" s="3" t="s">
        <v>40</v>
      </c>
      <c r="E1" s="3" t="s">
        <v>41</v>
      </c>
      <c r="F1" s="3" t="s">
        <v>42</v>
      </c>
      <c r="G1" s="3" t="s">
        <v>41</v>
      </c>
      <c r="H1" s="3" t="s">
        <v>43</v>
      </c>
      <c r="I1" s="3" t="s">
        <v>41</v>
      </c>
      <c r="J1" s="3" t="s">
        <v>44</v>
      </c>
      <c r="K1" s="3" t="s">
        <v>41</v>
      </c>
      <c r="L1" s="3" t="s">
        <v>45</v>
      </c>
      <c r="M1" s="3" t="s">
        <v>54</v>
      </c>
      <c r="N1" s="3" t="s">
        <v>22</v>
      </c>
      <c r="O1" s="3" t="s">
        <v>23</v>
      </c>
      <c r="P1" s="3" t="s">
        <v>51</v>
      </c>
      <c r="Q1" s="3" t="s">
        <v>46</v>
      </c>
      <c r="R1" s="3" t="s">
        <v>48</v>
      </c>
      <c r="S1" s="3" t="s">
        <v>52</v>
      </c>
      <c r="T1" s="11" t="s">
        <v>53</v>
      </c>
    </row>
    <row r="2" spans="1:20" x14ac:dyDescent="0.2">
      <c r="A2" s="6"/>
      <c r="B2" t="s">
        <v>27</v>
      </c>
      <c r="C2" s="4">
        <v>1</v>
      </c>
      <c r="D2">
        <f>Metingen!F2 / Metingen!G2</f>
        <v>0.49602227525855219</v>
      </c>
      <c r="E2">
        <f>D2 * $A$28 * ( 1 / Metingen!F2+ 1 / Metingen!G2)</f>
        <v>5.9507648180531119E-4</v>
      </c>
      <c r="F2">
        <f>Metingen!E2 / Metingen!G2</f>
        <v>0.50278440731901353</v>
      </c>
      <c r="G2">
        <f>F2 * $A$28 * (1 / Metingen!E2 + 1 / Metingen!G2)</f>
        <v>5.9776627180549468E-4</v>
      </c>
      <c r="H2">
        <f t="shared" ref="H2:H26" si="0">ACOS(SQRT(D2))</f>
        <v>0.78937593009791152</v>
      </c>
      <c r="I2">
        <f t="shared" ref="I2:I26" si="1">E2 / SIN(2 * H2)</f>
        <v>5.950953136494414E-4</v>
      </c>
      <c r="J2">
        <f t="shared" ref="J2:J26" si="2">ACOS(SQRT(F2))</f>
        <v>0.78261374168670139</v>
      </c>
      <c r="K2">
        <f t="shared" ref="K2:K26" si="3">G2 / SIN(2 * J2)</f>
        <v>5.9777554089417433E-4</v>
      </c>
      <c r="L2">
        <f t="shared" ref="L2:L26" si="4">(H2 - J2) / 2</f>
        <v>3.3810942056050619E-3</v>
      </c>
      <c r="M2">
        <f t="shared" ref="M2:M26" si="5">I2 + K2</f>
        <v>1.1928708545436157E-3</v>
      </c>
      <c r="N2">
        <f>Metingen!C2/$A$4</f>
        <v>1.0031298904538339</v>
      </c>
      <c r="O2">
        <f t="shared" ref="O2:O26" si="6">$A$16*N2</f>
        <v>0.81142441849107527</v>
      </c>
      <c r="P2">
        <v>1E-3</v>
      </c>
      <c r="Q2">
        <f t="shared" ref="Q2:Q26" si="7">L2 / (A$19 * N2)</f>
        <v>2.0834313884049386E-2</v>
      </c>
      <c r="R2">
        <f>Q2*((M2/L2)+(P2/O2)+($A$13/$A$7))</f>
        <v>7.4803220157331433E-3</v>
      </c>
      <c r="S2">
        <f>R2/Q2</f>
        <v>0.35903855809046004</v>
      </c>
      <c r="T2">
        <f>S2*100</f>
        <v>35.903855809046007</v>
      </c>
    </row>
    <row r="3" spans="1:20" x14ac:dyDescent="0.2">
      <c r="A3" s="4" t="s">
        <v>28</v>
      </c>
      <c r="C3" s="4">
        <v>2</v>
      </c>
      <c r="D3">
        <f>Metingen!F3 / Metingen!G3</f>
        <v>0.49503377036154156</v>
      </c>
      <c r="E3">
        <f>D3 * $A$28 * ( 1 / Metingen!F3+ 1 / Metingen!G3)</f>
        <v>5.9397448166926571E-4</v>
      </c>
      <c r="F3">
        <f>Metingen!E3 / Metingen!G3</f>
        <v>0.50297973778307514</v>
      </c>
      <c r="G3">
        <f>F3 * $A$28 * (1 / Metingen!E3 + 1 / Metingen!G3)</f>
        <v>5.9713140158246941E-4</v>
      </c>
      <c r="H3">
        <f t="shared" si="0"/>
        <v>0.7903644746957259</v>
      </c>
      <c r="I3">
        <f t="shared" si="1"/>
        <v>5.9400378274148389E-4</v>
      </c>
      <c r="J3">
        <f t="shared" si="2"/>
        <v>0.78241840797635342</v>
      </c>
      <c r="K3">
        <f t="shared" si="3"/>
        <v>5.9714200552999242E-4</v>
      </c>
      <c r="L3">
        <f t="shared" si="4"/>
        <v>3.9730333596862399E-3</v>
      </c>
      <c r="M3">
        <f t="shared" si="5"/>
        <v>1.1911457882714763E-3</v>
      </c>
      <c r="N3">
        <f>Metingen!C3/$A$4</f>
        <v>1.0125195618153364</v>
      </c>
      <c r="O3">
        <f t="shared" si="6"/>
        <v>0.81901965485760642</v>
      </c>
      <c r="P3">
        <v>1E-3</v>
      </c>
      <c r="Q3">
        <f t="shared" si="7"/>
        <v>2.4254810834649539E-2</v>
      </c>
      <c r="R3">
        <f t="shared" ref="R3:R26" si="8">Q3*((M3/L3)+(P3/O3)+($A$13/$A$7))</f>
        <v>7.4226662939378745E-3</v>
      </c>
      <c r="S3">
        <f t="shared" ref="S3:S26" si="9">R3/Q3</f>
        <v>0.30602862024114919</v>
      </c>
      <c r="T3">
        <f t="shared" ref="T3:T26" si="10">S3*100</f>
        <v>30.60286202411492</v>
      </c>
    </row>
    <row r="4" spans="1:20" x14ac:dyDescent="0.2">
      <c r="A4" s="4">
        <v>63.9</v>
      </c>
      <c r="C4" s="4">
        <v>3</v>
      </c>
      <c r="D4">
        <f>Metingen!F4 / Metingen!G4</f>
        <v>0.4924543288324067</v>
      </c>
      <c r="E4">
        <f>D4 * $A$28 * ( 1 / Metingen!F4+ 1 / Metingen!G4)</f>
        <v>5.9271418936950244E-4</v>
      </c>
      <c r="F4">
        <f>Metingen!E4 / Metingen!G4</f>
        <v>0.50039714058776807</v>
      </c>
      <c r="G4">
        <f>F4 * $A$28 * (1 / Metingen!E4 + 1 / Metingen!G4)</f>
        <v>5.9586860229855765E-4</v>
      </c>
      <c r="H4">
        <f t="shared" si="0"/>
        <v>0.79294412101375744</v>
      </c>
      <c r="I4">
        <f t="shared" si="1"/>
        <v>5.9278169581800512E-4</v>
      </c>
      <c r="J4">
        <f t="shared" si="2"/>
        <v>0.78500102276792205</v>
      </c>
      <c r="K4">
        <f t="shared" si="3"/>
        <v>5.9586879026020888E-4</v>
      </c>
      <c r="L4">
        <f t="shared" si="4"/>
        <v>3.9715491229176947E-3</v>
      </c>
      <c r="M4">
        <f t="shared" si="5"/>
        <v>1.188650486078214E-3</v>
      </c>
      <c r="N4">
        <f>Metingen!C4/$A$4</f>
        <v>1.0031298904538339</v>
      </c>
      <c r="O4">
        <f t="shared" si="6"/>
        <v>0.81142441849107527</v>
      </c>
      <c r="P4">
        <v>1E-3</v>
      </c>
      <c r="Q4">
        <f t="shared" si="7"/>
        <v>2.447269907345891E-2</v>
      </c>
      <c r="R4">
        <f t="shared" si="8"/>
        <v>7.4769919653387921E-3</v>
      </c>
      <c r="S4">
        <f t="shared" si="9"/>
        <v>0.30552379788168632</v>
      </c>
      <c r="T4">
        <f t="shared" si="10"/>
        <v>30.552379788168633</v>
      </c>
    </row>
    <row r="5" spans="1:20" x14ac:dyDescent="0.2">
      <c r="A5" s="4"/>
      <c r="C5" s="4">
        <v>4</v>
      </c>
      <c r="D5">
        <f>Metingen!F5 / Metingen!G5</f>
        <v>0.49781659388646288</v>
      </c>
      <c r="E5">
        <f>D5 * $A$28 * ( 1 / Metingen!F5+ 1 / Metingen!G5)</f>
        <v>5.9460761964528108E-4</v>
      </c>
      <c r="F5">
        <f>Metingen!E5 / Metingen!G5</f>
        <v>0.50774116712981332</v>
      </c>
      <c r="G5">
        <f>F5 * $A$28 * (1 / Metingen!E5 + 1 / Metingen!G5)</f>
        <v>5.9854750580778612E-4</v>
      </c>
      <c r="H5">
        <f t="shared" si="0"/>
        <v>0.78758157645029137</v>
      </c>
      <c r="I5">
        <f t="shared" si="1"/>
        <v>5.9461328902728878E-4</v>
      </c>
      <c r="J5">
        <f t="shared" si="2"/>
        <v>0.77765668697119417</v>
      </c>
      <c r="K5">
        <f t="shared" si="3"/>
        <v>5.9861925542584226E-4</v>
      </c>
      <c r="L5">
        <f t="shared" si="4"/>
        <v>4.9624447395485993E-3</v>
      </c>
      <c r="M5">
        <f t="shared" si="5"/>
        <v>1.193232544453131E-3</v>
      </c>
      <c r="N5">
        <f>Metingen!C5/$A$4</f>
        <v>1.0015649452269171</v>
      </c>
      <c r="O5">
        <f t="shared" si="6"/>
        <v>0.81015854576332025</v>
      </c>
      <c r="P5">
        <v>1E-3</v>
      </c>
      <c r="Q5">
        <f t="shared" si="7"/>
        <v>3.062638026531617E-2</v>
      </c>
      <c r="R5">
        <f t="shared" si="8"/>
        <v>7.5551264046134405E-3</v>
      </c>
      <c r="S5">
        <f t="shared" si="9"/>
        <v>0.24668688689826943</v>
      </c>
      <c r="T5">
        <f t="shared" si="10"/>
        <v>24.668688689826944</v>
      </c>
    </row>
    <row r="6" spans="1:20" x14ac:dyDescent="0.2">
      <c r="A6" s="6" t="s">
        <v>29</v>
      </c>
      <c r="B6" s="7"/>
      <c r="C6" s="2">
        <v>5</v>
      </c>
      <c r="D6">
        <f>Metingen!F6 / Metingen!G6</f>
        <v>0.49484126984126986</v>
      </c>
      <c r="E6">
        <f>D6 * $A$28 * ( 1 / Metingen!F6+ 1 / Metingen!G6)</f>
        <v>5.9319098009574193E-4</v>
      </c>
      <c r="F6">
        <f>Metingen!E6 / Metingen!G6</f>
        <v>0.50476190476190474</v>
      </c>
      <c r="G6">
        <f>F6 * $A$28 * (1 / Metingen!E6 + 1 / Metingen!G6)</f>
        <v>5.9712773998488286E-4</v>
      </c>
      <c r="H6">
        <f t="shared" si="0"/>
        <v>0.79055698508502292</v>
      </c>
      <c r="I6">
        <f t="shared" si="1"/>
        <v>5.932225552028208E-4</v>
      </c>
      <c r="J6">
        <f t="shared" si="2"/>
        <v>0.78063618664613843</v>
      </c>
      <c r="K6">
        <f t="shared" si="3"/>
        <v>5.9715482245036988E-4</v>
      </c>
      <c r="L6">
        <f t="shared" si="4"/>
        <v>4.9603992194422464E-3</v>
      </c>
      <c r="M6">
        <f t="shared" si="5"/>
        <v>1.1903773776531907E-3</v>
      </c>
      <c r="N6" s="3">
        <f>Metingen!C6/$A$4</f>
        <v>0.77464788732394363</v>
      </c>
      <c r="O6" s="3">
        <f t="shared" si="6"/>
        <v>0.62660700023881788</v>
      </c>
      <c r="P6">
        <v>1E-3</v>
      </c>
      <c r="Q6">
        <f t="shared" si="7"/>
        <v>3.9581421988197509E-2</v>
      </c>
      <c r="R6">
        <f t="shared" si="8"/>
        <v>9.7596711948788033E-3</v>
      </c>
      <c r="S6">
        <f t="shared" si="9"/>
        <v>0.24657202052490604</v>
      </c>
      <c r="T6">
        <f t="shared" si="10"/>
        <v>24.657202052490604</v>
      </c>
    </row>
    <row r="7" spans="1:20" x14ac:dyDescent="0.2">
      <c r="A7" s="6">
        <v>200</v>
      </c>
      <c r="B7" t="s">
        <v>30</v>
      </c>
      <c r="C7" s="4">
        <v>1</v>
      </c>
      <c r="D7">
        <f>Metingen!F7 / Metingen!G7</f>
        <v>0.49244232299124902</v>
      </c>
      <c r="E7">
        <f>D7 * $A$28 * ( 1 / Metingen!F7+ 1 / Metingen!G7)</f>
        <v>5.9365247533462579E-4</v>
      </c>
      <c r="F7">
        <f>Metingen!E7 / Metingen!G7</f>
        <v>0.49960222752585526</v>
      </c>
      <c r="G7">
        <f>F7 * $A$28 * (1 / Metingen!E7 + 1 / Metingen!G7)</f>
        <v>5.9650048827599659E-4</v>
      </c>
      <c r="H7">
        <f t="shared" si="0"/>
        <v>0.7929561282244828</v>
      </c>
      <c r="I7">
        <f t="shared" si="1"/>
        <v>5.9372030401383922E-4</v>
      </c>
      <c r="J7">
        <f t="shared" si="2"/>
        <v>0.78579593591355079</v>
      </c>
      <c r="K7">
        <f t="shared" si="3"/>
        <v>5.9650067703620956E-4</v>
      </c>
      <c r="L7">
        <f t="shared" si="4"/>
        <v>3.580096155466006E-3</v>
      </c>
      <c r="M7">
        <f t="shared" si="5"/>
        <v>1.1902209810500488E-3</v>
      </c>
      <c r="N7">
        <f>Metingen!C7/$A$4</f>
        <v>0.90140845070422537</v>
      </c>
      <c r="O7">
        <f t="shared" si="6"/>
        <v>0.72914269118698816</v>
      </c>
      <c r="P7">
        <v>1E-3</v>
      </c>
      <c r="Q7">
        <f t="shared" si="7"/>
        <v>2.4550038001737939E-2</v>
      </c>
      <c r="R7">
        <f t="shared" si="8"/>
        <v>8.3182035840817705E-3</v>
      </c>
      <c r="S7">
        <f t="shared" si="9"/>
        <v>0.33882650542100629</v>
      </c>
      <c r="T7">
        <f t="shared" si="10"/>
        <v>33.882650542100627</v>
      </c>
    </row>
    <row r="8" spans="1:20" x14ac:dyDescent="0.2">
      <c r="A8" s="6"/>
      <c r="C8" s="4">
        <v>2</v>
      </c>
      <c r="D8">
        <f>Metingen!F8 / Metingen!G8</f>
        <v>0.4948289578361178</v>
      </c>
      <c r="E8">
        <f>D8 * $A$28 * ( 1 / Metingen!F8+ 1 / Metingen!G8)</f>
        <v>5.9460181298174935E-4</v>
      </c>
      <c r="F8">
        <f>Metingen!E8 / Metingen!G8</f>
        <v>0.50198886237072404</v>
      </c>
      <c r="G8">
        <f>F8 * $A$28 * (1 / Metingen!E8 + 1 / Metingen!G8)</f>
        <v>5.9744982592312027E-4</v>
      </c>
      <c r="H8">
        <f t="shared" si="0"/>
        <v>0.79056929774709928</v>
      </c>
      <c r="I8">
        <f t="shared" si="1"/>
        <v>5.9463361445377292E-4</v>
      </c>
      <c r="J8">
        <f t="shared" si="2"/>
        <v>0.78340929578195928</v>
      </c>
      <c r="K8">
        <f t="shared" si="3"/>
        <v>5.9745455249264265E-4</v>
      </c>
      <c r="L8">
        <f t="shared" si="4"/>
        <v>3.5800009825699974E-3</v>
      </c>
      <c r="M8">
        <f t="shared" si="5"/>
        <v>1.1920881669464155E-3</v>
      </c>
      <c r="N8">
        <f>Metingen!C8/$A$4</f>
        <v>0.89827856025039121</v>
      </c>
      <c r="O8">
        <f t="shared" si="6"/>
        <v>0.72661094573147778</v>
      </c>
      <c r="P8">
        <v>1E-3</v>
      </c>
      <c r="Q8">
        <f t="shared" si="7"/>
        <v>2.4634923294239792E-2</v>
      </c>
      <c r="R8">
        <f t="shared" si="8"/>
        <v>8.3601490154752676E-3</v>
      </c>
      <c r="S8">
        <f t="shared" si="9"/>
        <v>0.33936168242220838</v>
      </c>
      <c r="T8">
        <f t="shared" si="10"/>
        <v>33.936168242220837</v>
      </c>
    </row>
    <row r="9" spans="1:20" x14ac:dyDescent="0.2">
      <c r="A9" s="6" t="s">
        <v>31</v>
      </c>
      <c r="C9" s="4">
        <v>3</v>
      </c>
      <c r="D9">
        <f>Metingen!F9 / Metingen!G9</f>
        <v>0.49085123309466988</v>
      </c>
      <c r="E9">
        <f>D9 * $A$28 * ( 1 / Metingen!F9+ 1 / Metingen!G9)</f>
        <v>5.9301958356987674E-4</v>
      </c>
      <c r="F9">
        <f>Metingen!E9 / Metingen!G9</f>
        <v>0.49880668257756566</v>
      </c>
      <c r="G9">
        <f>F9 * $A$28 * (1 / Metingen!E9 + 1 / Metingen!G9)</f>
        <v>5.9618404239362207E-4</v>
      </c>
      <c r="H9">
        <f t="shared" si="0"/>
        <v>0.79454744088050799</v>
      </c>
      <c r="I9">
        <f t="shared" si="1"/>
        <v>5.931188799061138E-4</v>
      </c>
      <c r="J9">
        <f t="shared" si="2"/>
        <v>0.78659148195274664</v>
      </c>
      <c r="K9">
        <f t="shared" si="3"/>
        <v>5.9618574034074395E-4</v>
      </c>
      <c r="L9">
        <f t="shared" si="4"/>
        <v>3.9779794638806765E-3</v>
      </c>
      <c r="M9">
        <f t="shared" si="5"/>
        <v>1.1893046202468577E-3</v>
      </c>
      <c r="N9">
        <f>Metingen!C9/$A$4</f>
        <v>0.9061032863849765</v>
      </c>
      <c r="O9">
        <f t="shared" si="6"/>
        <v>0.73294030937025367</v>
      </c>
      <c r="P9">
        <v>1E-3</v>
      </c>
      <c r="Q9">
        <f t="shared" si="7"/>
        <v>2.713713117578823E-2</v>
      </c>
      <c r="R9">
        <f t="shared" si="8"/>
        <v>8.2859540420489944E-3</v>
      </c>
      <c r="S9">
        <f t="shared" si="9"/>
        <v>0.30533640377733551</v>
      </c>
      <c r="T9">
        <f t="shared" si="10"/>
        <v>30.533640377733551</v>
      </c>
    </row>
    <row r="10" spans="1:20" x14ac:dyDescent="0.2">
      <c r="A10" s="6">
        <v>0.2</v>
      </c>
      <c r="C10" s="4">
        <v>4</v>
      </c>
      <c r="D10">
        <f>Metingen!F10 / Metingen!G10</f>
        <v>0.49045346062052514</v>
      </c>
      <c r="E10">
        <f>D10 * $A$28 * ( 1 / Metingen!F10+ 1 / Metingen!G10)</f>
        <v>5.9286136062868943E-4</v>
      </c>
      <c r="F10">
        <f>Metingen!E10 / Metingen!G10</f>
        <v>0.49840891010342087</v>
      </c>
      <c r="G10">
        <f>F10 * $A$28 * (1 / Metingen!E10 + 1 / Metingen!G10)</f>
        <v>5.9602581945243486E-4</v>
      </c>
      <c r="H10">
        <f t="shared" si="0"/>
        <v>0.79494528289700506</v>
      </c>
      <c r="I10">
        <f t="shared" si="1"/>
        <v>5.9296945269991927E-4</v>
      </c>
      <c r="J10">
        <f t="shared" si="2"/>
        <v>0.78698925597934011</v>
      </c>
      <c r="K10">
        <f t="shared" si="3"/>
        <v>5.960288372340157E-4</v>
      </c>
      <c r="L10">
        <f t="shared" si="4"/>
        <v>3.9780134588324745E-3</v>
      </c>
      <c r="M10">
        <f t="shared" si="5"/>
        <v>1.1889982899339351E-3</v>
      </c>
      <c r="N10">
        <f>Metingen!C10/$A$4</f>
        <v>0.90453834115805942</v>
      </c>
      <c r="O10">
        <f t="shared" si="6"/>
        <v>0.73167443664249854</v>
      </c>
      <c r="P10">
        <v>1E-3</v>
      </c>
      <c r="Q10">
        <f t="shared" si="7"/>
        <v>2.7184313539002053E-2</v>
      </c>
      <c r="R10">
        <f t="shared" si="8"/>
        <v>8.2982618984762078E-3</v>
      </c>
      <c r="S10">
        <f t="shared" si="9"/>
        <v>0.30525920349507712</v>
      </c>
      <c r="T10">
        <f t="shared" si="10"/>
        <v>30.525920349507711</v>
      </c>
    </row>
    <row r="11" spans="1:20" x14ac:dyDescent="0.2">
      <c r="A11" s="4"/>
      <c r="B11" s="7"/>
      <c r="C11" s="2">
        <v>5</v>
      </c>
      <c r="D11">
        <f>Metingen!F11 / Metingen!G11</f>
        <v>0.49443118536197306</v>
      </c>
      <c r="E11">
        <f>D11 * $A$28 * ( 1 / Metingen!F11+ 1 / Metingen!G11)</f>
        <v>5.9444359004056215E-4</v>
      </c>
      <c r="F11">
        <f>Metingen!E11 / Metingen!G11</f>
        <v>0.50119331742243445</v>
      </c>
      <c r="G11">
        <f>F11 * $A$28 * (1 / Metingen!E11 + 1 / Metingen!G11)</f>
        <v>5.9713338004074585E-4</v>
      </c>
      <c r="H11">
        <f t="shared" si="0"/>
        <v>0.79096709317416192</v>
      </c>
      <c r="I11">
        <f t="shared" si="1"/>
        <v>5.9448046287943442E-4</v>
      </c>
      <c r="J11">
        <f t="shared" si="2"/>
        <v>0.78420484484214981</v>
      </c>
      <c r="K11">
        <f t="shared" si="3"/>
        <v>5.9713508069160514E-4</v>
      </c>
      <c r="L11">
        <f t="shared" si="4"/>
        <v>3.3811241660060554E-3</v>
      </c>
      <c r="M11">
        <f t="shared" si="5"/>
        <v>1.1916155435710396E-3</v>
      </c>
      <c r="N11" s="3">
        <f>Metingen!C11/$A$4</f>
        <v>0.65571205007824729</v>
      </c>
      <c r="O11" s="3">
        <f t="shared" si="6"/>
        <v>0.53040067292942372</v>
      </c>
      <c r="P11">
        <v>1E-3</v>
      </c>
      <c r="Q11">
        <f t="shared" si="7"/>
        <v>3.1873302001409372E-2</v>
      </c>
      <c r="R11">
        <f t="shared" si="8"/>
        <v>1.1452623335594905E-2</v>
      </c>
      <c r="S11">
        <f t="shared" si="9"/>
        <v>0.35931712801794097</v>
      </c>
      <c r="T11">
        <f t="shared" si="10"/>
        <v>35.931712801794099</v>
      </c>
    </row>
    <row r="12" spans="1:20" x14ac:dyDescent="0.2">
      <c r="A12" s="6" t="s">
        <v>32</v>
      </c>
      <c r="B12" t="s">
        <v>33</v>
      </c>
      <c r="C12" s="4">
        <v>1</v>
      </c>
      <c r="D12">
        <f>Metingen!F12 / Metingen!G12</f>
        <v>0.49721559268098653</v>
      </c>
      <c r="E12">
        <f>D12 * $A$28 * ( 1 / Metingen!F12+ 1 / Metingen!G12)</f>
        <v>5.9555115062887303E-4</v>
      </c>
      <c r="F12">
        <f>Metingen!E12 / Metingen!G12</f>
        <v>0.50556881463802705</v>
      </c>
      <c r="G12">
        <f>F12 * $A$28 * (1 / Metingen!E12 + 1 / Metingen!G12)</f>
        <v>5.9887383239380556E-4</v>
      </c>
      <c r="H12">
        <f t="shared" si="0"/>
        <v>0.78818258510819506</v>
      </c>
      <c r="I12">
        <f t="shared" si="1"/>
        <v>5.9556038536942091E-4</v>
      </c>
      <c r="J12">
        <f t="shared" si="2"/>
        <v>0.77982923362073442</v>
      </c>
      <c r="K12">
        <f t="shared" si="3"/>
        <v>5.989109800369069E-4</v>
      </c>
      <c r="L12">
        <f t="shared" si="4"/>
        <v>4.1766757437303181E-3</v>
      </c>
      <c r="M12">
        <f t="shared" si="5"/>
        <v>1.1944713654063279E-3</v>
      </c>
      <c r="N12">
        <f>Metingen!C12/$A$4</f>
        <v>1.2097026604068857</v>
      </c>
      <c r="O12">
        <f t="shared" si="6"/>
        <v>0.97851961855476011</v>
      </c>
      <c r="P12">
        <v>1E-3</v>
      </c>
      <c r="Q12">
        <f t="shared" si="7"/>
        <v>2.1341808914874517E-2</v>
      </c>
      <c r="R12">
        <f t="shared" si="8"/>
        <v>6.2319808554748037E-3</v>
      </c>
      <c r="S12">
        <f t="shared" si="9"/>
        <v>0.29200808986399107</v>
      </c>
      <c r="T12">
        <f t="shared" si="10"/>
        <v>29.200808986399107</v>
      </c>
    </row>
    <row r="13" spans="1:20" x14ac:dyDescent="0.2">
      <c r="A13" s="6">
        <v>1</v>
      </c>
      <c r="C13" s="4">
        <v>2</v>
      </c>
      <c r="D13">
        <f>Metingen!F13 / Metingen!G13</f>
        <v>0.50079554494828959</v>
      </c>
      <c r="E13">
        <f>D13 * $A$28 * ( 1 / Metingen!F13+ 1 / Metingen!G13)</f>
        <v>5.9697515709955832E-4</v>
      </c>
      <c r="F13">
        <f>Metingen!E13 / Metingen!G13</f>
        <v>0.50954653937947492</v>
      </c>
      <c r="G13">
        <f>F13 * $A$28 * (1 / Metingen!E13 + 1 / Metingen!G13)</f>
        <v>6.0045606180567828E-4</v>
      </c>
      <c r="H13">
        <f t="shared" si="0"/>
        <v>0.78460261811349563</v>
      </c>
      <c r="I13">
        <f t="shared" si="1"/>
        <v>5.9697591274231437E-4</v>
      </c>
      <c r="J13">
        <f t="shared" si="2"/>
        <v>0.77585104389789128</v>
      </c>
      <c r="K13">
        <f t="shared" si="3"/>
        <v>6.0056553856316895E-4</v>
      </c>
      <c r="L13">
        <f t="shared" si="4"/>
        <v>4.3757871078021759E-3</v>
      </c>
      <c r="M13">
        <f t="shared" si="5"/>
        <v>1.1975414513054833E-3</v>
      </c>
      <c r="N13">
        <f>Metingen!C13/$A$4</f>
        <v>1.2065727699530515</v>
      </c>
      <c r="O13">
        <f t="shared" si="6"/>
        <v>0.97598787309924973</v>
      </c>
      <c r="P13">
        <v>1E-3</v>
      </c>
      <c r="Q13">
        <f t="shared" si="7"/>
        <v>2.2417220686907015E-2</v>
      </c>
      <c r="R13">
        <f t="shared" si="8"/>
        <v>6.2700770404829353E-3</v>
      </c>
      <c r="S13">
        <f t="shared" si="9"/>
        <v>0.27969912631252419</v>
      </c>
      <c r="T13">
        <f t="shared" si="10"/>
        <v>27.96991263125242</v>
      </c>
    </row>
    <row r="14" spans="1:20" x14ac:dyDescent="0.2">
      <c r="A14" s="6"/>
      <c r="C14" s="4">
        <v>3</v>
      </c>
      <c r="D14">
        <f>Metingen!F14 / Metingen!G14</f>
        <v>0.50119331742243445</v>
      </c>
      <c r="E14">
        <f>D14 * $A$28 * ( 1 / Metingen!F14+ 1 / Metingen!G14)</f>
        <v>5.9713338004074585E-4</v>
      </c>
      <c r="F14">
        <f>Metingen!E14 / Metingen!G14</f>
        <v>0.51034208432776451</v>
      </c>
      <c r="G14">
        <f>F14 * $A$28 * (1 / Metingen!E14 + 1 / Metingen!G14)</f>
        <v>6.0077250768805269E-4</v>
      </c>
      <c r="H14">
        <f t="shared" si="0"/>
        <v>0.78420484484214981</v>
      </c>
      <c r="I14">
        <f t="shared" si="1"/>
        <v>5.9713508069160514E-4</v>
      </c>
      <c r="J14">
        <f t="shared" si="2"/>
        <v>0.77505534147701582</v>
      </c>
      <c r="K14">
        <f t="shared" si="3"/>
        <v>6.0090106464312119E-4</v>
      </c>
      <c r="L14">
        <f t="shared" si="4"/>
        <v>4.5747516825669909E-3</v>
      </c>
      <c r="M14">
        <f t="shared" si="5"/>
        <v>1.1980361453347264E-3</v>
      </c>
      <c r="N14">
        <f>Metingen!C14/$A$4</f>
        <v>1.2065727699530515</v>
      </c>
      <c r="O14">
        <f t="shared" si="6"/>
        <v>0.97598787309924973</v>
      </c>
      <c r="P14">
        <v>1E-3</v>
      </c>
      <c r="Q14">
        <f t="shared" si="7"/>
        <v>2.3436519083171937E-2</v>
      </c>
      <c r="R14">
        <f t="shared" si="8"/>
        <v>6.278752233223512E-3</v>
      </c>
      <c r="S14">
        <f t="shared" si="9"/>
        <v>0.26790464108348871</v>
      </c>
      <c r="T14">
        <f t="shared" si="10"/>
        <v>26.790464108348871</v>
      </c>
    </row>
    <row r="15" spans="1:20" x14ac:dyDescent="0.2">
      <c r="A15" s="6" t="s">
        <v>34</v>
      </c>
      <c r="C15" s="4">
        <v>4</v>
      </c>
      <c r="D15">
        <f>Metingen!F15 / Metingen!G15</f>
        <v>0.49363564041368346</v>
      </c>
      <c r="E15">
        <f>D15 * $A$28 * ( 1 / Metingen!F15+ 1 / Metingen!G15)</f>
        <v>5.9412714415818752E-4</v>
      </c>
      <c r="F15">
        <f>Metingen!E15 / Metingen!G15</f>
        <v>0.50517104216388231</v>
      </c>
      <c r="G15">
        <f>F15 * $A$28 * (1 / Metingen!E15 + 1 / Metingen!G15)</f>
        <v>5.9871560945261824E-4</v>
      </c>
      <c r="H15">
        <f t="shared" si="0"/>
        <v>0.79176269485552897</v>
      </c>
      <c r="I15">
        <f t="shared" si="1"/>
        <v>5.9417528033416859E-4</v>
      </c>
      <c r="J15">
        <f t="shared" si="2"/>
        <v>0.78022702904779728</v>
      </c>
      <c r="K15">
        <f t="shared" si="3"/>
        <v>5.9874763094547008E-4</v>
      </c>
      <c r="L15">
        <f t="shared" si="4"/>
        <v>5.7678329038658438E-3</v>
      </c>
      <c r="M15">
        <f t="shared" si="5"/>
        <v>1.1929229112796387E-3</v>
      </c>
      <c r="N15">
        <f>Metingen!C15/$A$4</f>
        <v>1.1987480438184663</v>
      </c>
      <c r="O15">
        <f t="shared" si="6"/>
        <v>0.96965850946047383</v>
      </c>
      <c r="P15">
        <v>1E-3</v>
      </c>
      <c r="Q15">
        <f t="shared" si="7"/>
        <v>2.9741568024165096E-2</v>
      </c>
      <c r="R15">
        <f t="shared" si="8"/>
        <v>6.3306327816733607E-3</v>
      </c>
      <c r="S15">
        <f t="shared" si="9"/>
        <v>0.21285470814886781</v>
      </c>
      <c r="T15">
        <f t="shared" si="10"/>
        <v>21.285470814886782</v>
      </c>
    </row>
    <row r="16" spans="1:20" x14ac:dyDescent="0.2">
      <c r="A16" s="6">
        <f>(A19/$A$7)*10^(3)</f>
        <v>0.808892673035565</v>
      </c>
      <c r="B16" s="7"/>
      <c r="C16" s="2">
        <v>5</v>
      </c>
      <c r="D16">
        <f>Metingen!F16 / Metingen!G16</f>
        <v>0.50556881463802705</v>
      </c>
      <c r="E16">
        <f>D16 * $A$28 * ( 1 / Metingen!F16+ 1 / Metingen!G16)</f>
        <v>5.9887383239380556E-4</v>
      </c>
      <c r="F16">
        <f>Metingen!E16 / Metingen!G16</f>
        <v>0.51312649164677815</v>
      </c>
      <c r="G16">
        <f>F16 * $A$28 * (1 / Metingen!E16 + 1 / Metingen!G16)</f>
        <v>6.0188006827636357E-4</v>
      </c>
      <c r="H16">
        <f t="shared" si="0"/>
        <v>0.77982923362073442</v>
      </c>
      <c r="I16">
        <f t="shared" si="1"/>
        <v>5.989109800369069E-4</v>
      </c>
      <c r="J16">
        <f t="shared" si="2"/>
        <v>0.77227016344462807</v>
      </c>
      <c r="K16">
        <f t="shared" si="3"/>
        <v>6.0208758918211679E-4</v>
      </c>
      <c r="L16">
        <f t="shared" si="4"/>
        <v>3.7795350880531764E-3</v>
      </c>
      <c r="M16">
        <f t="shared" si="5"/>
        <v>1.2009985692190237E-3</v>
      </c>
      <c r="N16" s="3">
        <f>Metingen!C16/$A$4</f>
        <v>0.54460093896713613</v>
      </c>
      <c r="O16" s="3">
        <f t="shared" si="6"/>
        <v>0.44052370925880535</v>
      </c>
      <c r="P16">
        <v>1E-3</v>
      </c>
      <c r="Q16">
        <f t="shared" si="7"/>
        <v>4.2898202850561215E-2</v>
      </c>
      <c r="R16">
        <f t="shared" si="8"/>
        <v>1.3943357183843184E-2</v>
      </c>
      <c r="S16">
        <f t="shared" si="9"/>
        <v>0.3250335971512795</v>
      </c>
      <c r="T16">
        <f t="shared" si="10"/>
        <v>32.503359715127949</v>
      </c>
    </row>
    <row r="17" spans="1:23" x14ac:dyDescent="0.2">
      <c r="A17" s="6"/>
      <c r="B17" t="s">
        <v>35</v>
      </c>
      <c r="C17" s="4">
        <v>1</v>
      </c>
      <c r="D17">
        <f>Metingen!F17 / Metingen!G17</f>
        <v>0.49642004773269693</v>
      </c>
      <c r="E17">
        <f>D17 * $A$28 * ( 1 / Metingen!F17+ 1 / Metingen!G17)</f>
        <v>5.952347047464985E-4</v>
      </c>
      <c r="F17">
        <f>Metingen!E17 / Metingen!G17</f>
        <v>0.50278440731901353</v>
      </c>
      <c r="G17">
        <f>F17 * $A$28 * (1 / Metingen!E17 + 1 / Metingen!G17)</f>
        <v>5.9776627180549468E-4</v>
      </c>
      <c r="H17">
        <f t="shared" si="0"/>
        <v>0.78897814625270812</v>
      </c>
      <c r="I17">
        <f t="shared" si="1"/>
        <v>5.9524996245841262E-4</v>
      </c>
      <c r="J17">
        <f t="shared" si="2"/>
        <v>0.78261374168670139</v>
      </c>
      <c r="K17">
        <f t="shared" si="3"/>
        <v>5.9777554089417433E-4</v>
      </c>
      <c r="L17">
        <f t="shared" si="4"/>
        <v>3.1822022830033658E-3</v>
      </c>
      <c r="M17">
        <f t="shared" si="5"/>
        <v>1.1930255033525869E-3</v>
      </c>
      <c r="N17">
        <f>Metingen!C17/$A$4</f>
        <v>0.78247261345852892</v>
      </c>
      <c r="O17">
        <f t="shared" si="6"/>
        <v>0.63293636387759389</v>
      </c>
      <c r="P17">
        <v>1E-3</v>
      </c>
      <c r="Q17">
        <f t="shared" si="7"/>
        <v>2.5138406201755104E-2</v>
      </c>
      <c r="R17">
        <f t="shared" si="8"/>
        <v>9.5899387781322697E-3</v>
      </c>
      <c r="S17">
        <f t="shared" si="9"/>
        <v>0.38148555247160909</v>
      </c>
      <c r="T17">
        <f t="shared" si="10"/>
        <v>38.148555247160907</v>
      </c>
    </row>
    <row r="18" spans="1:23" x14ac:dyDescent="0.2">
      <c r="A18" s="6" t="s">
        <v>36</v>
      </c>
      <c r="C18" s="4">
        <v>2</v>
      </c>
      <c r="D18">
        <f>Metingen!F18 / Metingen!G18</f>
        <v>0.50238663484486878</v>
      </c>
      <c r="E18">
        <f>D18 * $A$28 * ( 1 / Metingen!F18+ 1 / Metingen!G18)</f>
        <v>5.9760804886430736E-4</v>
      </c>
      <c r="F18">
        <f>Metingen!E18 / Metingen!G18</f>
        <v>0.50954653937947492</v>
      </c>
      <c r="G18">
        <f>F18 * $A$28 * (1 / Metingen!E18 + 1 / Metingen!G18)</f>
        <v>6.0045606180567828E-4</v>
      </c>
      <c r="H18">
        <f t="shared" si="0"/>
        <v>0.78301151948959724</v>
      </c>
      <c r="I18">
        <f t="shared" si="1"/>
        <v>5.976148569624731E-4</v>
      </c>
      <c r="J18">
        <f t="shared" si="2"/>
        <v>0.77585104389789128</v>
      </c>
      <c r="K18">
        <f t="shared" si="3"/>
        <v>6.0056553856316895E-4</v>
      </c>
      <c r="L18">
        <f t="shared" si="4"/>
        <v>3.5802377958529807E-3</v>
      </c>
      <c r="M18">
        <f t="shared" si="5"/>
        <v>1.198180395525642E-3</v>
      </c>
      <c r="N18">
        <f>Metingen!C18/$A$4</f>
        <v>0.784037558685446</v>
      </c>
      <c r="O18">
        <f t="shared" si="6"/>
        <v>0.63420223660534913</v>
      </c>
      <c r="P18">
        <v>1E-3</v>
      </c>
      <c r="Q18">
        <f t="shared" si="7"/>
        <v>2.8226310072766971E-2</v>
      </c>
      <c r="R18">
        <f t="shared" si="8"/>
        <v>9.6319973030914736E-3</v>
      </c>
      <c r="S18">
        <f t="shared" si="9"/>
        <v>0.34124181581865787</v>
      </c>
      <c r="T18">
        <f t="shared" si="10"/>
        <v>34.124181581865784</v>
      </c>
    </row>
    <row r="19" spans="1:23" x14ac:dyDescent="0.2">
      <c r="A19" s="6">
        <v>0.161778534607113</v>
      </c>
      <c r="C19" s="4">
        <v>3</v>
      </c>
      <c r="D19">
        <f>Metingen!F19 / Metingen!G19</f>
        <v>0.50238663484486878</v>
      </c>
      <c r="E19">
        <f>D19 * $A$28 * ( 1 / Metingen!F19+ 1 / Metingen!G19)</f>
        <v>5.9760804886430736E-4</v>
      </c>
      <c r="F19">
        <f>Metingen!E19 / Metingen!G19</f>
        <v>0.50994431185361977</v>
      </c>
      <c r="G19">
        <f>F19 * $A$28 * (1 / Metingen!E19 + 1 / Metingen!G19)</f>
        <v>6.0061428474686548E-4</v>
      </c>
      <c r="H19">
        <f t="shared" si="0"/>
        <v>0.78301151948959724</v>
      </c>
      <c r="I19">
        <f t="shared" si="1"/>
        <v>5.976148569624731E-4</v>
      </c>
      <c r="J19">
        <f t="shared" si="2"/>
        <v>0.77545319583615957</v>
      </c>
      <c r="K19">
        <f t="shared" si="3"/>
        <v>6.0073310869760799E-4</v>
      </c>
      <c r="L19">
        <f t="shared" si="4"/>
        <v>3.7791618267188354E-3</v>
      </c>
      <c r="M19">
        <f t="shared" si="5"/>
        <v>1.1983479656600812E-3</v>
      </c>
      <c r="N19">
        <f>Metingen!C19/$A$4</f>
        <v>0.78247261345852892</v>
      </c>
      <c r="O19">
        <f t="shared" si="6"/>
        <v>0.63293636387759389</v>
      </c>
      <c r="P19">
        <v>1E-3</v>
      </c>
      <c r="Q19">
        <f t="shared" si="7"/>
        <v>2.9854200535788012E-2</v>
      </c>
      <c r="R19">
        <f t="shared" si="8"/>
        <v>9.6630142042004354E-3</v>
      </c>
      <c r="S19">
        <f t="shared" si="9"/>
        <v>0.32367352100475116</v>
      </c>
      <c r="T19">
        <f t="shared" si="10"/>
        <v>32.367352100475117</v>
      </c>
    </row>
    <row r="20" spans="1:23" x14ac:dyDescent="0.2">
      <c r="A20" s="6"/>
      <c r="C20" s="4">
        <v>4</v>
      </c>
      <c r="D20">
        <f>Metingen!F20 / Metingen!G20</f>
        <v>0.50397772474144786</v>
      </c>
      <c r="E20">
        <f>D20 * $A$28 * ( 1 / Metingen!F20+ 1 / Metingen!G20)</f>
        <v>5.9824094062905662E-4</v>
      </c>
      <c r="F20">
        <f>Metingen!E20 / Metingen!G20</f>
        <v>0.51153540175019896</v>
      </c>
      <c r="G20">
        <f>F20 * $A$28 * (1 / Metingen!E20 + 1 / Metingen!G20)</f>
        <v>6.0124717651161464E-4</v>
      </c>
      <c r="H20">
        <f t="shared" si="0"/>
        <v>0.78142039669698504</v>
      </c>
      <c r="I20">
        <f t="shared" si="1"/>
        <v>5.9825987261593672E-4</v>
      </c>
      <c r="J20">
        <f t="shared" si="2"/>
        <v>0.77386173809278591</v>
      </c>
      <c r="K20">
        <f t="shared" si="3"/>
        <v>6.0140725092015259E-4</v>
      </c>
      <c r="L20">
        <f t="shared" si="4"/>
        <v>3.7793293020995655E-3</v>
      </c>
      <c r="M20">
        <f t="shared" si="5"/>
        <v>1.1996671235360893E-3</v>
      </c>
      <c r="N20">
        <f>Metingen!C20/$A$4</f>
        <v>0.78247261345852892</v>
      </c>
      <c r="O20">
        <f t="shared" si="6"/>
        <v>0.63293636387759389</v>
      </c>
      <c r="P20">
        <v>1E-3</v>
      </c>
      <c r="Q20">
        <f t="shared" si="7"/>
        <v>2.9855523539096783E-2</v>
      </c>
      <c r="R20">
        <f t="shared" si="8"/>
        <v>9.6734438455429329E-3</v>
      </c>
      <c r="S20">
        <f t="shared" si="9"/>
        <v>0.32400851496960831</v>
      </c>
      <c r="T20">
        <f t="shared" si="10"/>
        <v>32.400851496960833</v>
      </c>
    </row>
    <row r="21" spans="1:23" x14ac:dyDescent="0.2">
      <c r="A21" s="4" t="s">
        <v>37</v>
      </c>
      <c r="B21" s="7"/>
      <c r="C21" s="2">
        <v>5</v>
      </c>
      <c r="D21">
        <f>Metingen!F21 / Metingen!G21</f>
        <v>0.50397772474144786</v>
      </c>
      <c r="E21">
        <f>D21 * $A$28 * ( 1 / Metingen!F21+ 1 / Metingen!G21)</f>
        <v>5.9824094062905662E-4</v>
      </c>
      <c r="F21">
        <f>Metingen!E21 / Metingen!G21</f>
        <v>0.50914876690533017</v>
      </c>
      <c r="G21">
        <f>F21 * $A$28 * (1 / Metingen!E21 + 1 / Metingen!G21)</f>
        <v>6.0029783886449096E-4</v>
      </c>
      <c r="H21">
        <f t="shared" si="0"/>
        <v>0.78142039669698504</v>
      </c>
      <c r="I21">
        <f t="shared" si="1"/>
        <v>5.9825987261593672E-4</v>
      </c>
      <c r="J21">
        <f t="shared" si="2"/>
        <v>0.77624888591438845</v>
      </c>
      <c r="K21">
        <f t="shared" si="3"/>
        <v>6.0039835388575114E-4</v>
      </c>
      <c r="L21">
        <f t="shared" si="4"/>
        <v>2.5857553912982945E-3</v>
      </c>
      <c r="M21">
        <f t="shared" si="5"/>
        <v>1.1986582265016879E-3</v>
      </c>
      <c r="N21" s="3">
        <f>Metingen!C21/$A$4</f>
        <v>0.40845070422535212</v>
      </c>
      <c r="O21" s="3">
        <f t="shared" si="6"/>
        <v>0.33039278194410404</v>
      </c>
      <c r="P21">
        <v>1E-3</v>
      </c>
      <c r="Q21">
        <f t="shared" si="7"/>
        <v>3.9131535744866143E-2</v>
      </c>
      <c r="R21">
        <f t="shared" si="8"/>
        <v>1.8453994415856417E-2</v>
      </c>
      <c r="S21">
        <f t="shared" si="9"/>
        <v>0.47158881103401329</v>
      </c>
      <c r="T21">
        <f t="shared" si="10"/>
        <v>47.158881103401328</v>
      </c>
    </row>
    <row r="22" spans="1:23" x14ac:dyDescent="0.2">
      <c r="A22" s="6">
        <f>$A$19*(10^(-3))</f>
        <v>1.6177853460711301E-4</v>
      </c>
      <c r="B22" t="s">
        <v>38</v>
      </c>
      <c r="C22" s="4">
        <v>1</v>
      </c>
      <c r="D22">
        <f>Metingen!F22 / Metingen!G22</f>
        <v>0.4952267303102626</v>
      </c>
      <c r="E22">
        <f>D22 * $A$28 * ( 1 / Metingen!F22+ 1 / Metingen!G22)</f>
        <v>5.9476003592293678E-4</v>
      </c>
      <c r="F22">
        <f>Metingen!E22 / Metingen!G22</f>
        <v>0.5</v>
      </c>
      <c r="G22">
        <f>F22 * $A$28 * (1 / Metingen!E22 + 1 / Metingen!G22)</f>
        <v>5.966587112171838E-4</v>
      </c>
      <c r="H22">
        <f t="shared" si="0"/>
        <v>0.79017150559327309</v>
      </c>
      <c r="I22">
        <f t="shared" si="1"/>
        <v>5.9478713992404105E-4</v>
      </c>
      <c r="J22">
        <f t="shared" si="2"/>
        <v>0.78539816339744817</v>
      </c>
      <c r="K22">
        <f t="shared" si="3"/>
        <v>5.966587112171838E-4</v>
      </c>
      <c r="L22">
        <f t="shared" si="4"/>
        <v>2.3866710979124628E-3</v>
      </c>
      <c r="M22">
        <f t="shared" si="5"/>
        <v>1.191445851141225E-3</v>
      </c>
      <c r="N22">
        <f>Metingen!C22/$A$4</f>
        <v>0.47730829420970267</v>
      </c>
      <c r="O22">
        <f t="shared" si="6"/>
        <v>0.38609118196533226</v>
      </c>
      <c r="P22">
        <v>1E-3</v>
      </c>
      <c r="Q22">
        <f t="shared" si="7"/>
        <v>3.0908127527848665E-2</v>
      </c>
      <c r="R22">
        <f t="shared" si="8"/>
        <v>1.56641861901545E-2</v>
      </c>
      <c r="S22">
        <f t="shared" si="9"/>
        <v>0.50679829038626956</v>
      </c>
      <c r="T22">
        <f t="shared" si="10"/>
        <v>50.679829038626956</v>
      </c>
    </row>
    <row r="23" spans="1:23" x14ac:dyDescent="0.2">
      <c r="A23" s="6"/>
      <c r="C23" s="4">
        <v>2</v>
      </c>
      <c r="D23">
        <f>Metingen!F23 / Metingen!G23</f>
        <v>0.49840891010342087</v>
      </c>
      <c r="E23">
        <f>D23 * $A$28 * ( 1 / Metingen!F23+ 1 / Metingen!G23)</f>
        <v>5.9602581945243486E-4</v>
      </c>
      <c r="F23">
        <f>Metingen!E23 / Metingen!G23</f>
        <v>0.50357995226730312</v>
      </c>
      <c r="G23">
        <f>F23 * $A$28 * (1 / Metingen!E23 + 1 / Metingen!G23)</f>
        <v>5.980827176878692E-4</v>
      </c>
      <c r="H23">
        <f t="shared" si="0"/>
        <v>0.78698925597934011</v>
      </c>
      <c r="I23">
        <f t="shared" si="1"/>
        <v>5.960288372340157E-4</v>
      </c>
      <c r="J23">
        <f t="shared" si="2"/>
        <v>0.78181818054218832</v>
      </c>
      <c r="K23">
        <f t="shared" si="3"/>
        <v>5.9809804840318958E-4</v>
      </c>
      <c r="L23">
        <f t="shared" si="4"/>
        <v>2.5855377185758921E-3</v>
      </c>
      <c r="M23">
        <f t="shared" si="5"/>
        <v>1.1941268856372053E-3</v>
      </c>
      <c r="N23">
        <f>Metingen!C23/$A$4</f>
        <v>0.47417840375586856</v>
      </c>
      <c r="O23">
        <f t="shared" si="6"/>
        <v>0.38355943650982194</v>
      </c>
      <c r="P23">
        <v>1E-3</v>
      </c>
      <c r="Q23">
        <f t="shared" si="7"/>
        <v>3.370452493755402E-2</v>
      </c>
      <c r="R23">
        <f t="shared" si="8"/>
        <v>1.5822782125535239E-2</v>
      </c>
      <c r="S23">
        <f t="shared" si="9"/>
        <v>0.46945572307726818</v>
      </c>
      <c r="T23">
        <f t="shared" si="10"/>
        <v>46.94557230772682</v>
      </c>
    </row>
    <row r="24" spans="1:23" x14ac:dyDescent="0.2">
      <c r="A24" s="6" t="s">
        <v>39</v>
      </c>
      <c r="C24" s="4">
        <v>3</v>
      </c>
      <c r="D24">
        <f>Metingen!F24 / Metingen!G24</f>
        <v>0.50517104216388231</v>
      </c>
      <c r="E24">
        <f>D24 * $A$28 * ( 1 / Metingen!F24+ 1 / Metingen!G24)</f>
        <v>5.9871560945261824E-4</v>
      </c>
      <c r="F24">
        <f>Metingen!E24 / Metingen!G24</f>
        <v>0.50954653937947492</v>
      </c>
      <c r="G24">
        <f>F24 * $A$28 * (1 / Metingen!E24 + 1 / Metingen!G24)</f>
        <v>6.0045606180567828E-4</v>
      </c>
      <c r="H24">
        <f t="shared" si="0"/>
        <v>0.78022702904779728</v>
      </c>
      <c r="I24">
        <f t="shared" si="1"/>
        <v>5.9874763094547008E-4</v>
      </c>
      <c r="J24">
        <f t="shared" si="2"/>
        <v>0.77585104389789128</v>
      </c>
      <c r="K24">
        <f t="shared" si="3"/>
        <v>6.0056553856316895E-4</v>
      </c>
      <c r="L24">
        <f t="shared" si="4"/>
        <v>2.1879925749530016E-3</v>
      </c>
      <c r="M24">
        <f t="shared" si="5"/>
        <v>1.1993131695086389E-3</v>
      </c>
      <c r="N24">
        <f>Metingen!C24/$A$4</f>
        <v>0.46948356807511737</v>
      </c>
      <c r="O24">
        <f t="shared" si="6"/>
        <v>0.37976181832655637</v>
      </c>
      <c r="P24">
        <v>1E-3</v>
      </c>
      <c r="Q24">
        <f t="shared" si="7"/>
        <v>2.8807432308420637E-2</v>
      </c>
      <c r="R24">
        <f t="shared" si="8"/>
        <v>1.6010227465777509E-2</v>
      </c>
      <c r="S24">
        <f t="shared" si="9"/>
        <v>0.55576725111656666</v>
      </c>
      <c r="T24">
        <f t="shared" si="10"/>
        <v>55.576725111656664</v>
      </c>
    </row>
    <row r="25" spans="1:23" x14ac:dyDescent="0.2">
      <c r="A25" s="6">
        <v>635</v>
      </c>
      <c r="C25" s="4">
        <v>4</v>
      </c>
      <c r="D25">
        <f>Metingen!F25 / Metingen!G25</f>
        <v>0.50119331742243445</v>
      </c>
      <c r="E25">
        <f>D25 * $A$28 * ( 1 / Metingen!F25+ 1 / Metingen!G25)</f>
        <v>5.9713338004074585E-4</v>
      </c>
      <c r="F25">
        <f>Metingen!E25 / Metingen!G25</f>
        <v>0.50596658711217191</v>
      </c>
      <c r="G25">
        <f>F25 * $A$28 * (1 / Metingen!E25 + 1 / Metingen!G25)</f>
        <v>5.9903205533499277E-4</v>
      </c>
      <c r="H25">
        <f t="shared" si="0"/>
        <v>0.78420484484214981</v>
      </c>
      <c r="I25">
        <f t="shared" si="1"/>
        <v>5.9713508069160514E-4</v>
      </c>
      <c r="J25">
        <f t="shared" si="2"/>
        <v>0.77943143466855702</v>
      </c>
      <c r="K25">
        <f t="shared" si="3"/>
        <v>5.9907471116685761E-4</v>
      </c>
      <c r="L25">
        <f t="shared" si="4"/>
        <v>2.3867050867963924E-3</v>
      </c>
      <c r="M25">
        <f t="shared" si="5"/>
        <v>1.1962097918584626E-3</v>
      </c>
      <c r="N25">
        <f>Metingen!C25/$A$4</f>
        <v>0.46948356807511737</v>
      </c>
      <c r="O25">
        <f t="shared" si="6"/>
        <v>0.37976181832655637</v>
      </c>
      <c r="P25">
        <v>1E-3</v>
      </c>
      <c r="Q25">
        <f t="shared" si="7"/>
        <v>3.1423710489295029E-2</v>
      </c>
      <c r="R25">
        <f t="shared" si="8"/>
        <v>1.5989338590458556E-2</v>
      </c>
      <c r="S25">
        <f t="shared" si="9"/>
        <v>0.50883038131049385</v>
      </c>
      <c r="T25">
        <f t="shared" si="10"/>
        <v>50.883038131049382</v>
      </c>
    </row>
    <row r="26" spans="1:23" x14ac:dyDescent="0.2">
      <c r="A26" s="6"/>
      <c r="C26" s="4">
        <v>5</v>
      </c>
      <c r="D26">
        <f>Metingen!F26 / Metingen!G26</f>
        <v>0.4948289578361178</v>
      </c>
      <c r="E26">
        <f>D26 * $A$28 * ( 1 / Metingen!F26+ 1 / Metingen!G26)</f>
        <v>5.9460181298174935E-4</v>
      </c>
      <c r="F26">
        <f>Metingen!E26 / Metingen!G26</f>
        <v>0.49920445505171041</v>
      </c>
      <c r="G26">
        <f>F26 * $A$28 * (1 / Metingen!E26 + 1 / Metingen!G26)</f>
        <v>5.9634226533480928E-4</v>
      </c>
      <c r="H26">
        <f t="shared" si="0"/>
        <v>0.79056929774709928</v>
      </c>
      <c r="I26">
        <f t="shared" si="1"/>
        <v>5.9463361445377292E-4</v>
      </c>
      <c r="J26">
        <f t="shared" si="2"/>
        <v>0.78619370868140082</v>
      </c>
      <c r="K26">
        <f t="shared" si="3"/>
        <v>5.9634302017645983E-4</v>
      </c>
      <c r="L26">
        <f t="shared" si="4"/>
        <v>2.1877945328492299E-3</v>
      </c>
      <c r="M26">
        <f t="shared" si="5"/>
        <v>1.1909766346302328E-3</v>
      </c>
      <c r="N26">
        <f>Metingen!C26/$A$4</f>
        <v>0.3129890453834116</v>
      </c>
      <c r="O26">
        <f t="shared" si="6"/>
        <v>0.25317454555103758</v>
      </c>
      <c r="P26">
        <v>1E-3</v>
      </c>
      <c r="Q26">
        <f t="shared" si="7"/>
        <v>4.3207237285396674E-2</v>
      </c>
      <c r="R26">
        <f t="shared" si="8"/>
        <v>2.3907558560375127E-2</v>
      </c>
      <c r="S26">
        <f t="shared" si="9"/>
        <v>0.55332300934814649</v>
      </c>
      <c r="T26">
        <f t="shared" si="10"/>
        <v>55.332300934814647</v>
      </c>
    </row>
    <row r="27" spans="1:23" x14ac:dyDescent="0.2">
      <c r="A27" s="8" t="s">
        <v>47</v>
      </c>
      <c r="W27" s="9"/>
    </row>
    <row r="28" spans="1:23" x14ac:dyDescent="0.2">
      <c r="A28" s="8">
        <v>1E-3</v>
      </c>
      <c r="W28" s="9"/>
    </row>
    <row r="29" spans="1:23" x14ac:dyDescent="0.2">
      <c r="A29" s="8"/>
      <c r="W29" s="9"/>
    </row>
    <row r="30" spans="1:23" x14ac:dyDescent="0.2">
      <c r="A30" s="8"/>
      <c r="W30" s="9"/>
    </row>
    <row r="31" spans="1:23" x14ac:dyDescent="0.2">
      <c r="A31" s="8"/>
      <c r="W31" s="9"/>
    </row>
    <row r="32" spans="1:23" x14ac:dyDescent="0.2">
      <c r="A32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Kalibratie</vt:lpstr>
      <vt:lpstr>Metingen</vt:lpstr>
      <vt:lpstr>Verwerking</vt:lpstr>
      <vt:lpstr>Verwerking_2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Tristan Cools</cp:lastModifiedBy>
  <cp:revision>2</cp:revision>
  <dcterms:created xsi:type="dcterms:W3CDTF">2026-03-16T22:23:51Z</dcterms:created>
  <dcterms:modified xsi:type="dcterms:W3CDTF">2026-03-26T11:11:06Z</dcterms:modified>
  <dc:language>en-US</dc:language>
</cp:coreProperties>
</file>