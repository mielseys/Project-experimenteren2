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Kalibratie" sheetId="1" state="visible" r:id="rId3"/>
    <sheet name="Metingen" sheetId="2" state="visible" r:id="rId4"/>
    <sheet name="Verwerking" sheetId="3" state="visible" r:id="rId5"/>
    <sheet name="Verwerking_2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<sst xmlns="http://schemas.openxmlformats.org/spreadsheetml/2006/main" count="69" uniqueCount="48">
  <si>
    <t xml:space="preserve">d(cm)</t>
  </si>
  <si>
    <t xml:space="preserve">Bx (µT)</t>
  </si>
  <si>
    <t xml:space="preserve">By (µT)</t>
  </si>
  <si>
    <t xml:space="preserve">Bz (µT)</t>
  </si>
  <si>
    <t xml:space="preserve">I (mA)</t>
  </si>
  <si>
    <t xml:space="preserve">U(V)</t>
  </si>
  <si>
    <t xml:space="preserve">Unnamed: 6</t>
  </si>
  <si>
    <t xml:space="preserve">B (magnitude) (µT)</t>
  </si>
  <si>
    <t xml:space="preserve">Metingnr</t>
  </si>
  <si>
    <t xml:space="preserve">Frequentie (Hz)</t>
  </si>
  <si>
    <t xml:space="preserve">Stroom (mA)</t>
  </si>
  <si>
    <t xml:space="preserve">V_AVG (V)</t>
  </si>
  <si>
    <t xml:space="preserve">V_MAX (V)</t>
  </si>
  <si>
    <t xml:space="preserve">V_MIN (V)</t>
  </si>
  <si>
    <t xml:space="preserve">V_AMPLIT (V)</t>
  </si>
  <si>
    <t xml:space="preserve">Constantes:</t>
  </si>
  <si>
    <t xml:space="preserve">Meting:</t>
  </si>
  <si>
    <t xml:space="preserve">Delta V_AC (V)</t>
  </si>
  <si>
    <r>
      <rPr>
        <sz val="11"/>
        <color theme="1"/>
        <rFont val="Calibri"/>
        <family val="2"/>
        <charset val="1"/>
      </rPr>
      <t xml:space="preserve">V_piek = (Delta V_AC)_rms </t>
    </r>
    <r>
      <rPr>
        <sz val="5"/>
        <color theme="1"/>
        <rFont val="Calibri (Body)"/>
        <family val="0"/>
        <charset val="1"/>
      </rPr>
      <t xml:space="preserve">want lockin meet rms</t>
    </r>
    <r>
      <rPr>
        <sz val="11"/>
        <color theme="1"/>
        <rFont val="Calibri"/>
        <family val="2"/>
        <charset val="1"/>
      </rPr>
      <t xml:space="preserve"> (V)</t>
    </r>
  </si>
  <si>
    <t xml:space="preserve">V_CD = V_AVG (V)</t>
  </si>
  <si>
    <r>
      <rPr>
        <sz val="11"/>
        <color theme="1"/>
        <rFont val="Calibri"/>
        <family val="2"/>
        <charset val="1"/>
      </rPr>
      <t xml:space="preserve">Draaihoek (radialen)</t>
    </r>
    <r>
      <rPr>
        <sz val="8"/>
        <color theme="1"/>
        <rFont val="Calibri (Body)"/>
        <family val="0"/>
        <charset val="1"/>
      </rPr>
      <t xml:space="preserve"> (=Delta(V_AC)/(2V_DC)) </t>
    </r>
  </si>
  <si>
    <r>
      <rPr>
        <sz val="11"/>
        <color theme="1"/>
        <rFont val="Calibri"/>
        <family val="2"/>
        <charset val="1"/>
      </rPr>
      <t xml:space="preserve">Draaihoek (graden)</t>
    </r>
    <r>
      <rPr>
        <sz val="8"/>
        <color theme="1"/>
        <rFont val="Calibri (Body)"/>
        <family val="0"/>
        <charset val="1"/>
      </rPr>
      <t xml:space="preserve"> (=Delta(V_AC)/(2V_DC)) </t>
    </r>
  </si>
  <si>
    <t xml:space="preserve">schalingsfactor: I/(I_ref)</t>
  </si>
  <si>
    <t xml:space="preserve">B_spoel (mT)</t>
  </si>
  <si>
    <t xml:space="preserve">B_spoel (T)</t>
  </si>
  <si>
    <t xml:space="preserve">Verdet-cste V (rad/Tm)</t>
  </si>
  <si>
    <t xml:space="preserve">Verdet (graden/(T*m))</t>
  </si>
  <si>
    <t xml:space="preserve">Set 1</t>
  </si>
  <si>
    <t xml:space="preserve">I_referentie (mA)</t>
  </si>
  <si>
    <t xml:space="preserve">lengte kwarts (mm)</t>
  </si>
  <si>
    <t xml:space="preserve">Set  2</t>
  </si>
  <si>
    <t xml:space="preserve">lengte kwarts (m)</t>
  </si>
  <si>
    <t xml:space="preserve">AF(lengte) (mm)</t>
  </si>
  <si>
    <t xml:space="preserve">Set 3</t>
  </si>
  <si>
    <t xml:space="preserve">B_referentie (mT) zie interpolatie python</t>
  </si>
  <si>
    <t xml:space="preserve">Set 4</t>
  </si>
  <si>
    <t xml:space="preserve">B_referentie door staaf  (T*mm)</t>
  </si>
  <si>
    <t xml:space="preserve">B_veld door staaf (T*m)</t>
  </si>
  <si>
    <t xml:space="preserve">Set 5</t>
  </si>
  <si>
    <t xml:space="preserve">Golflengte laser (nm)</t>
  </si>
  <si>
    <t xml:space="preserve">C² 1</t>
  </si>
  <si>
    <t xml:space="preserve">AF</t>
  </si>
  <si>
    <t xml:space="preserve">C²2</t>
  </si>
  <si>
    <t xml:space="preserve">theta1</t>
  </si>
  <si>
    <t xml:space="preserve">theta2</t>
  </si>
  <si>
    <t xml:space="preserve">dtheta</t>
  </si>
  <si>
    <t xml:space="preserve">Verdet (rad/(T * mm))</t>
  </si>
  <si>
    <t xml:space="preserve">AF voltages (gok)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</si>
</sst>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E+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5"/>
      <color theme="1"/>
      <name val="Calibri (Body)"/>
      <family val="0"/>
      <charset val="1"/>
    </font>
    <font>
      <sz val="8"/>
      <color theme="1"/>
      <name val="Calibri (Body)"/>
      <family val="0"/>
      <charset val="1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5.5"/>
    <col collapsed="false" customWidth="true" hidden="false" outlineLevel="0" max="4" min="2" style="1" width="6.5"/>
    <col collapsed="false" customWidth="true" hidden="false" outlineLevel="0" max="5" min="5" style="1" width="5.66"/>
    <col collapsed="false" customWidth="true" hidden="false" outlineLevel="0" max="6" min="6" style="1" width="4.5"/>
    <col collapsed="false" customWidth="true" hidden="false" outlineLevel="0" max="7" min="7" style="1" width="10.5"/>
    <col collapsed="false" customWidth="true" hidden="false" outlineLevel="0" max="8" min="8" style="1" width="15.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false" outlineLevel="0" collapsed="false">
      <c r="A2" s="1" t="n">
        <v>0</v>
      </c>
      <c r="B2" s="1" t="n">
        <v>-30</v>
      </c>
      <c r="C2" s="1" t="n">
        <v>80</v>
      </c>
      <c r="D2" s="1" t="n">
        <v>58</v>
      </c>
      <c r="E2" s="1" t="n">
        <v>63.9</v>
      </c>
      <c r="F2" s="1" t="n">
        <v>8</v>
      </c>
      <c r="H2" s="1" t="n">
        <v>103.266645147405</v>
      </c>
    </row>
    <row r="3" customFormat="false" ht="15" hidden="false" customHeight="false" outlineLevel="0" collapsed="false">
      <c r="A3" s="1" t="n">
        <v>0.5</v>
      </c>
      <c r="B3" s="1" t="n">
        <v>-35</v>
      </c>
      <c r="C3" s="1" t="n">
        <v>88</v>
      </c>
      <c r="D3" s="1" t="n">
        <v>55</v>
      </c>
      <c r="E3" s="1" t="n">
        <v>63.9</v>
      </c>
      <c r="F3" s="1" t="n">
        <v>8</v>
      </c>
      <c r="H3" s="1" t="n">
        <v>109.517121949036</v>
      </c>
    </row>
    <row r="4" customFormat="false" ht="15" hidden="false" customHeight="false" outlineLevel="0" collapsed="false">
      <c r="A4" s="1" t="n">
        <v>1</v>
      </c>
      <c r="B4" s="1" t="n">
        <v>-33</v>
      </c>
      <c r="C4" s="1" t="n">
        <v>98</v>
      </c>
      <c r="D4" s="1" t="n">
        <v>58</v>
      </c>
      <c r="E4" s="1" t="n">
        <v>63.9</v>
      </c>
      <c r="F4" s="1" t="n">
        <v>8</v>
      </c>
      <c r="H4" s="1" t="n">
        <v>118.562219952226</v>
      </c>
    </row>
    <row r="5" customFormat="false" ht="15" hidden="false" customHeight="false" outlineLevel="0" collapsed="false">
      <c r="A5" s="1" t="n">
        <v>1.5</v>
      </c>
      <c r="B5" s="1" t="n">
        <v>-33</v>
      </c>
      <c r="C5" s="1" t="n">
        <v>109</v>
      </c>
      <c r="D5" s="1" t="n">
        <v>59</v>
      </c>
      <c r="E5" s="1" t="n">
        <v>63.9</v>
      </c>
      <c r="F5" s="1" t="n">
        <v>8</v>
      </c>
      <c r="H5" s="1" t="n">
        <v>128.26145173044</v>
      </c>
    </row>
    <row r="6" customFormat="false" ht="15" hidden="false" customHeight="false" outlineLevel="0" collapsed="false">
      <c r="A6" s="1" t="n">
        <v>2</v>
      </c>
      <c r="B6" s="1" t="n">
        <v>-31</v>
      </c>
      <c r="C6" s="1" t="n">
        <v>123</v>
      </c>
      <c r="D6" s="1" t="n">
        <v>58</v>
      </c>
      <c r="E6" s="1" t="n">
        <v>63.9</v>
      </c>
      <c r="F6" s="1" t="n">
        <v>8</v>
      </c>
      <c r="H6" s="1" t="n">
        <v>139.477596767366</v>
      </c>
    </row>
    <row r="7" customFormat="false" ht="15" hidden="false" customHeight="false" outlineLevel="0" collapsed="false">
      <c r="A7" s="1" t="n">
        <v>2.5</v>
      </c>
      <c r="B7" s="1" t="n">
        <v>-28</v>
      </c>
      <c r="C7" s="1" t="n">
        <v>142</v>
      </c>
      <c r="D7" s="1" t="n">
        <v>62</v>
      </c>
      <c r="E7" s="1" t="n">
        <v>63.9</v>
      </c>
      <c r="F7" s="1" t="n">
        <v>8</v>
      </c>
      <c r="H7" s="1" t="n">
        <v>157.454755406117</v>
      </c>
    </row>
    <row r="8" customFormat="false" ht="15" hidden="false" customHeight="false" outlineLevel="0" collapsed="false">
      <c r="A8" s="1" t="n">
        <v>3</v>
      </c>
      <c r="B8" s="1" t="n">
        <v>-26</v>
      </c>
      <c r="C8" s="1" t="n">
        <v>163</v>
      </c>
      <c r="D8" s="1" t="n">
        <v>63</v>
      </c>
      <c r="E8" s="1" t="n">
        <v>63.9</v>
      </c>
      <c r="F8" s="1" t="n">
        <v>8</v>
      </c>
      <c r="H8" s="1" t="n">
        <v>176.67484257811</v>
      </c>
    </row>
    <row r="9" customFormat="false" ht="15" hidden="false" customHeight="false" outlineLevel="0" collapsed="false">
      <c r="A9" s="1" t="n">
        <v>3.5</v>
      </c>
      <c r="B9" s="1" t="n">
        <v>-21</v>
      </c>
      <c r="C9" s="1" t="n">
        <v>195</v>
      </c>
      <c r="D9" s="1" t="n">
        <v>64</v>
      </c>
      <c r="E9" s="1" t="n">
        <v>63.9</v>
      </c>
      <c r="F9" s="1" t="n">
        <v>8</v>
      </c>
      <c r="H9" s="1" t="n">
        <v>206.305598566786</v>
      </c>
    </row>
    <row r="10" customFormat="false" ht="15" hidden="false" customHeight="false" outlineLevel="0" collapsed="false">
      <c r="A10" s="1" t="n">
        <v>4</v>
      </c>
      <c r="B10" s="1" t="n">
        <v>-11</v>
      </c>
      <c r="C10" s="1" t="n">
        <v>232</v>
      </c>
      <c r="D10" s="1" t="n">
        <v>67</v>
      </c>
      <c r="E10" s="1" t="n">
        <v>63.9</v>
      </c>
      <c r="F10" s="1" t="n">
        <v>8</v>
      </c>
      <c r="H10" s="1" t="n">
        <v>241.731255736613</v>
      </c>
    </row>
    <row r="11" customFormat="false" ht="15" hidden="false" customHeight="false" outlineLevel="0" collapsed="false">
      <c r="A11" s="1" t="n">
        <v>4.5</v>
      </c>
      <c r="B11" s="1" t="n">
        <v>-5</v>
      </c>
      <c r="C11" s="1" t="n">
        <v>284</v>
      </c>
      <c r="D11" s="1" t="n">
        <v>70</v>
      </c>
      <c r="E11" s="1" t="n">
        <v>63.9</v>
      </c>
      <c r="F11" s="1" t="n">
        <v>8</v>
      </c>
      <c r="H11" s="1" t="n">
        <v>292.542304633022</v>
      </c>
    </row>
    <row r="12" customFormat="false" ht="15" hidden="false" customHeight="false" outlineLevel="0" collapsed="false">
      <c r="A12" s="1" t="n">
        <v>5</v>
      </c>
      <c r="B12" s="1" t="n">
        <v>2</v>
      </c>
      <c r="C12" s="1" t="n">
        <v>351</v>
      </c>
      <c r="D12" s="1" t="n">
        <v>73</v>
      </c>
      <c r="E12" s="1" t="n">
        <v>63.9</v>
      </c>
      <c r="F12" s="1" t="n">
        <v>8</v>
      </c>
      <c r="H12" s="1" t="n">
        <v>358.516387352099</v>
      </c>
    </row>
    <row r="13" customFormat="false" ht="15" hidden="false" customHeight="false" outlineLevel="0" collapsed="false">
      <c r="A13" s="1" t="n">
        <v>5.5</v>
      </c>
      <c r="B13" s="1" t="n">
        <v>13</v>
      </c>
      <c r="C13" s="1" t="n">
        <v>444</v>
      </c>
      <c r="D13" s="1" t="n">
        <v>83</v>
      </c>
      <c r="E13" s="1" t="n">
        <v>63.9</v>
      </c>
      <c r="F13" s="1" t="n">
        <v>8</v>
      </c>
      <c r="H13" s="1" t="n">
        <v>451.878302200936</v>
      </c>
    </row>
    <row r="14" customFormat="false" ht="15" hidden="false" customHeight="false" outlineLevel="0" collapsed="false">
      <c r="A14" s="1" t="n">
        <v>6</v>
      </c>
      <c r="B14" s="1" t="n">
        <v>26</v>
      </c>
      <c r="C14" s="1" t="n">
        <v>549</v>
      </c>
      <c r="D14" s="1" t="n">
        <v>85</v>
      </c>
      <c r="E14" s="1" t="n">
        <v>63.9</v>
      </c>
      <c r="F14" s="1" t="n">
        <v>8</v>
      </c>
      <c r="H14" s="1" t="n">
        <v>556.149260540729</v>
      </c>
    </row>
    <row r="15" customFormat="false" ht="15" hidden="false" customHeight="false" outlineLevel="0" collapsed="false">
      <c r="A15" s="1" t="n">
        <v>6.5</v>
      </c>
      <c r="B15" s="1" t="n">
        <v>19</v>
      </c>
      <c r="C15" s="1" t="n">
        <v>657</v>
      </c>
      <c r="D15" s="1" t="n">
        <v>100</v>
      </c>
      <c r="E15" s="1" t="n">
        <v>63.9</v>
      </c>
      <c r="F15" s="1" t="n">
        <v>8</v>
      </c>
      <c r="H15" s="1" t="n">
        <v>664.838326211719</v>
      </c>
    </row>
    <row r="16" customFormat="false" ht="15" hidden="false" customHeight="false" outlineLevel="0" collapsed="false">
      <c r="A16" s="1" t="n">
        <v>7</v>
      </c>
      <c r="B16" s="1" t="n">
        <v>31</v>
      </c>
      <c r="C16" s="1" t="n">
        <v>767</v>
      </c>
      <c r="D16" s="1" t="n">
        <v>100</v>
      </c>
      <c r="E16" s="1" t="n">
        <v>63.9</v>
      </c>
      <c r="F16" s="1" t="n">
        <v>8</v>
      </c>
      <c r="H16" s="1" t="n">
        <v>774.112394940166</v>
      </c>
    </row>
    <row r="17" customFormat="false" ht="15" hidden="false" customHeight="false" outlineLevel="0" collapsed="false">
      <c r="A17" s="1" t="n">
        <v>7.5</v>
      </c>
      <c r="B17" s="1" t="n">
        <v>27</v>
      </c>
      <c r="C17" s="1" t="n">
        <v>859</v>
      </c>
      <c r="D17" s="1" t="n">
        <v>109</v>
      </c>
      <c r="E17" s="1" t="n">
        <v>63.9</v>
      </c>
      <c r="F17" s="1" t="n">
        <v>8</v>
      </c>
      <c r="H17" s="1" t="n">
        <v>866.308836385731</v>
      </c>
    </row>
    <row r="18" customFormat="false" ht="15" hidden="false" customHeight="false" outlineLevel="0" collapsed="false">
      <c r="A18" s="1" t="n">
        <v>8</v>
      </c>
      <c r="B18" s="1" t="n">
        <v>26</v>
      </c>
      <c r="C18" s="1" t="n">
        <v>951</v>
      </c>
      <c r="D18" s="1" t="n">
        <v>118</v>
      </c>
      <c r="E18" s="1" t="n">
        <v>63.9</v>
      </c>
      <c r="F18" s="1" t="n">
        <v>8</v>
      </c>
      <c r="H18" s="1" t="n">
        <v>958.645398465981</v>
      </c>
    </row>
    <row r="19" customFormat="false" ht="15" hidden="false" customHeight="false" outlineLevel="0" collapsed="false">
      <c r="A19" s="1" t="n">
        <v>8.5</v>
      </c>
      <c r="B19" s="1" t="n">
        <v>26</v>
      </c>
      <c r="C19" s="1" t="n">
        <v>1015</v>
      </c>
      <c r="D19" s="1" t="n">
        <v>126</v>
      </c>
      <c r="E19" s="1" t="n">
        <v>63.9</v>
      </c>
      <c r="F19" s="1" t="n">
        <v>8</v>
      </c>
      <c r="H19" s="1" t="n">
        <v>1023.12120494104</v>
      </c>
    </row>
    <row r="20" customFormat="false" ht="15" hidden="false" customHeight="false" outlineLevel="0" collapsed="false">
      <c r="A20" s="1" t="n">
        <v>9</v>
      </c>
      <c r="B20" s="1" t="n">
        <v>23</v>
      </c>
      <c r="C20" s="1" t="n">
        <v>1062</v>
      </c>
      <c r="D20" s="1" t="n">
        <v>131</v>
      </c>
      <c r="E20" s="1" t="n">
        <v>63.9</v>
      </c>
      <c r="F20" s="1" t="n">
        <v>8</v>
      </c>
      <c r="H20" s="1" t="n">
        <v>1070.29622067912</v>
      </c>
    </row>
    <row r="21" customFormat="false" ht="15" hidden="false" customHeight="false" outlineLevel="0" collapsed="false">
      <c r="A21" s="1" t="n">
        <v>9.5</v>
      </c>
      <c r="B21" s="1" t="n">
        <v>19</v>
      </c>
      <c r="C21" s="1" t="n">
        <v>1095</v>
      </c>
      <c r="D21" s="1" t="n">
        <v>134</v>
      </c>
      <c r="E21" s="1" t="n">
        <v>63.9</v>
      </c>
      <c r="F21" s="1" t="n">
        <v>8</v>
      </c>
      <c r="H21" s="1" t="n">
        <v>1103.3322255785</v>
      </c>
    </row>
    <row r="22" customFormat="false" ht="15" hidden="false" customHeight="false" outlineLevel="0" collapsed="false">
      <c r="A22" s="1" t="n">
        <v>10</v>
      </c>
      <c r="B22" s="1" t="n">
        <v>11</v>
      </c>
      <c r="C22" s="1" t="n">
        <v>1115</v>
      </c>
      <c r="D22" s="1" t="n">
        <v>132</v>
      </c>
      <c r="E22" s="1" t="n">
        <v>63.9</v>
      </c>
      <c r="F22" s="1" t="n">
        <v>8</v>
      </c>
      <c r="H22" s="1" t="n">
        <v>1122.84014890812</v>
      </c>
    </row>
    <row r="23" customFormat="false" ht="15" hidden="false" customHeight="false" outlineLevel="0" collapsed="false">
      <c r="A23" s="1" t="n">
        <v>10.5</v>
      </c>
      <c r="B23" s="1" t="n">
        <v>9</v>
      </c>
      <c r="C23" s="1" t="n">
        <v>1124</v>
      </c>
      <c r="D23" s="1" t="n">
        <v>136</v>
      </c>
      <c r="E23" s="1" t="n">
        <v>63.9</v>
      </c>
      <c r="F23" s="1" t="n">
        <v>8</v>
      </c>
      <c r="H23" s="1" t="n">
        <v>1132.23363313408</v>
      </c>
    </row>
    <row r="24" customFormat="false" ht="15" hidden="false" customHeight="false" outlineLevel="0" collapsed="false">
      <c r="A24" s="1" t="n">
        <v>11</v>
      </c>
      <c r="B24" s="1" t="n">
        <v>-2</v>
      </c>
      <c r="C24" s="1" t="n">
        <v>1119</v>
      </c>
      <c r="D24" s="1" t="n">
        <v>134</v>
      </c>
      <c r="E24" s="1" t="n">
        <v>63.9</v>
      </c>
      <c r="F24" s="1" t="n">
        <v>8</v>
      </c>
      <c r="H24" s="1" t="n">
        <v>1126.99645074863</v>
      </c>
    </row>
    <row r="25" customFormat="false" ht="15" hidden="false" customHeight="false" outlineLevel="0" collapsed="false">
      <c r="A25" s="1" t="n">
        <v>11.5</v>
      </c>
      <c r="B25" s="1" t="n">
        <v>0</v>
      </c>
      <c r="C25" s="1" t="n">
        <v>1103</v>
      </c>
      <c r="D25" s="1" t="n">
        <v>135</v>
      </c>
      <c r="E25" s="1" t="n">
        <v>63.9</v>
      </c>
      <c r="F25" s="1" t="n">
        <v>8</v>
      </c>
      <c r="H25" s="1" t="n">
        <v>1111.23084910382</v>
      </c>
    </row>
    <row r="26" customFormat="false" ht="15" hidden="false" customHeight="false" outlineLevel="0" collapsed="false">
      <c r="A26" s="1" t="n">
        <v>12</v>
      </c>
      <c r="B26" s="1" t="n">
        <v>-11</v>
      </c>
      <c r="C26" s="1" t="n">
        <v>1079</v>
      </c>
      <c r="D26" s="1" t="n">
        <v>130</v>
      </c>
      <c r="E26" s="1" t="n">
        <v>63.9</v>
      </c>
      <c r="F26" s="1" t="n">
        <v>8</v>
      </c>
      <c r="H26" s="1" t="n">
        <v>1086.85877647466</v>
      </c>
    </row>
    <row r="27" customFormat="false" ht="15" hidden="false" customHeight="false" outlineLevel="0" collapsed="false">
      <c r="A27" s="1" t="n">
        <v>12.5</v>
      </c>
      <c r="B27" s="1" t="n">
        <v>-11</v>
      </c>
      <c r="C27" s="1" t="n">
        <v>1051</v>
      </c>
      <c r="D27" s="1" t="n">
        <v>132</v>
      </c>
      <c r="E27" s="1" t="n">
        <v>63.9</v>
      </c>
      <c r="F27" s="1" t="n">
        <v>8</v>
      </c>
      <c r="H27" s="1" t="n">
        <v>1059.31392891815</v>
      </c>
    </row>
    <row r="28" customFormat="false" ht="15" hidden="false" customHeight="false" outlineLevel="0" collapsed="false">
      <c r="A28" s="1" t="n">
        <v>13</v>
      </c>
      <c r="B28" s="1" t="n">
        <v>-7</v>
      </c>
      <c r="C28" s="1" t="n">
        <v>1028</v>
      </c>
      <c r="D28" s="1" t="n">
        <v>132</v>
      </c>
      <c r="E28" s="1" t="n">
        <v>63.9</v>
      </c>
      <c r="F28" s="1" t="n">
        <v>8</v>
      </c>
      <c r="H28" s="1" t="n">
        <v>1036.46369931609</v>
      </c>
    </row>
    <row r="29" customFormat="false" ht="15" hidden="false" customHeight="false" outlineLevel="0" collapsed="false">
      <c r="A29" s="1" t="n">
        <v>13.5</v>
      </c>
      <c r="B29" s="1" t="n">
        <v>-4</v>
      </c>
      <c r="C29" s="1" t="n">
        <v>1013</v>
      </c>
      <c r="D29" s="1" t="n">
        <v>127</v>
      </c>
      <c r="E29" s="1" t="n">
        <v>63.9</v>
      </c>
      <c r="F29" s="1" t="n">
        <v>8</v>
      </c>
      <c r="H29" s="1" t="n">
        <v>1020.9378041781</v>
      </c>
    </row>
    <row r="30" customFormat="false" ht="15" hidden="false" customHeight="false" outlineLevel="0" collapsed="false">
      <c r="A30" s="1" t="n">
        <v>14</v>
      </c>
      <c r="B30" s="1" t="n">
        <v>-3</v>
      </c>
      <c r="C30" s="1" t="n">
        <v>1015</v>
      </c>
      <c r="D30" s="1" t="n">
        <v>128</v>
      </c>
      <c r="E30" s="1" t="n">
        <v>63.9</v>
      </c>
      <c r="F30" s="1" t="n">
        <v>8</v>
      </c>
      <c r="H30" s="1" t="n">
        <v>1023.04349858645</v>
      </c>
    </row>
    <row r="31" customFormat="false" ht="15" hidden="false" customHeight="false" outlineLevel="0" collapsed="false">
      <c r="A31" s="1" t="n">
        <v>14.5</v>
      </c>
      <c r="B31" s="1" t="n">
        <v>2</v>
      </c>
      <c r="C31" s="1" t="n">
        <v>1029</v>
      </c>
      <c r="D31" s="1" t="n">
        <v>131</v>
      </c>
      <c r="E31" s="1" t="n">
        <v>63.9</v>
      </c>
      <c r="F31" s="1" t="n">
        <v>8</v>
      </c>
      <c r="H31" s="1" t="n">
        <v>1037.30709049924</v>
      </c>
    </row>
    <row r="32" customFormat="false" ht="15" hidden="false" customHeight="false" outlineLevel="0" collapsed="false">
      <c r="A32" s="1" t="n">
        <v>15</v>
      </c>
      <c r="B32" s="1" t="n">
        <v>2</v>
      </c>
      <c r="C32" s="1" t="n">
        <v>1049</v>
      </c>
      <c r="D32" s="1" t="n">
        <v>130</v>
      </c>
      <c r="E32" s="1" t="n">
        <v>63.9</v>
      </c>
      <c r="F32" s="1" t="n">
        <v>8</v>
      </c>
      <c r="H32" s="1" t="n">
        <v>1057.02648973429</v>
      </c>
    </row>
    <row r="33" customFormat="false" ht="15" hidden="false" customHeight="false" outlineLevel="0" collapsed="false">
      <c r="A33" s="1" t="n">
        <v>15.5</v>
      </c>
      <c r="B33" s="1" t="n">
        <v>3</v>
      </c>
      <c r="C33" s="1" t="n">
        <v>1063</v>
      </c>
      <c r="D33" s="1" t="n">
        <v>133</v>
      </c>
      <c r="E33" s="1" t="n">
        <v>63.9</v>
      </c>
      <c r="F33" s="1" t="n">
        <v>8</v>
      </c>
      <c r="H33" s="1" t="n">
        <v>1071.29221037026</v>
      </c>
    </row>
    <row r="34" customFormat="false" ht="15" hidden="false" customHeight="false" outlineLevel="0" collapsed="false">
      <c r="A34" s="1" t="n">
        <v>16</v>
      </c>
      <c r="B34" s="1" t="n">
        <v>1</v>
      </c>
      <c r="C34" s="1" t="n">
        <v>1075</v>
      </c>
      <c r="D34" s="1" t="n">
        <v>133</v>
      </c>
      <c r="E34" s="1" t="n">
        <v>63.9</v>
      </c>
      <c r="F34" s="1" t="n">
        <v>8</v>
      </c>
      <c r="H34" s="1" t="n">
        <v>1083.19665804507</v>
      </c>
    </row>
    <row r="35" customFormat="false" ht="15" hidden="false" customHeight="false" outlineLevel="0" collapsed="false">
      <c r="A35" s="1" t="n">
        <v>16.5</v>
      </c>
      <c r="B35" s="1" t="n">
        <v>0</v>
      </c>
      <c r="C35" s="1" t="n">
        <v>1075</v>
      </c>
      <c r="D35" s="1" t="n">
        <v>138</v>
      </c>
      <c r="E35" s="1" t="n">
        <v>63.9</v>
      </c>
      <c r="F35" s="1" t="n">
        <v>8</v>
      </c>
      <c r="H35" s="1" t="n">
        <v>1083.821479765</v>
      </c>
    </row>
    <row r="36" customFormat="false" ht="15" hidden="false" customHeight="false" outlineLevel="0" collapsed="false">
      <c r="A36" s="1" t="n">
        <v>17</v>
      </c>
      <c r="B36" s="1" t="n">
        <v>-10</v>
      </c>
      <c r="C36" s="1" t="n">
        <v>1068</v>
      </c>
      <c r="D36" s="1" t="n">
        <v>131</v>
      </c>
      <c r="E36" s="1" t="n">
        <v>63.9</v>
      </c>
      <c r="F36" s="1" t="n">
        <v>8</v>
      </c>
      <c r="H36" s="1" t="n">
        <v>1076.05064936554</v>
      </c>
    </row>
    <row r="37" customFormat="false" ht="15" hidden="false" customHeight="false" outlineLevel="0" collapsed="false">
      <c r="A37" s="1" t="n">
        <v>17.5</v>
      </c>
      <c r="B37" s="1" t="n">
        <v>-15</v>
      </c>
      <c r="C37" s="1" t="n">
        <v>1043</v>
      </c>
      <c r="D37" s="1" t="n">
        <v>126</v>
      </c>
      <c r="E37" s="1" t="n">
        <v>63.9</v>
      </c>
      <c r="F37" s="1" t="n">
        <v>8</v>
      </c>
      <c r="H37" s="1" t="n">
        <v>1050.69024931233</v>
      </c>
    </row>
    <row r="38" customFormat="false" ht="15" hidden="false" customHeight="false" outlineLevel="0" collapsed="false">
      <c r="A38" s="1" t="n">
        <v>18</v>
      </c>
      <c r="B38" s="1" t="n">
        <v>-15</v>
      </c>
      <c r="C38" s="1" t="n">
        <v>1013</v>
      </c>
      <c r="D38" s="1" t="n">
        <v>125</v>
      </c>
      <c r="E38" s="1" t="n">
        <v>63.9</v>
      </c>
      <c r="F38" s="1" t="n">
        <v>8</v>
      </c>
      <c r="H38" s="1" t="n">
        <v>1020.79331894365</v>
      </c>
    </row>
    <row r="39" customFormat="false" ht="15" hidden="false" customHeight="false" outlineLevel="0" collapsed="false">
      <c r="A39" s="1" t="n">
        <v>18.5</v>
      </c>
      <c r="B39" s="1" t="n">
        <v>-19</v>
      </c>
      <c r="C39" s="1" t="n">
        <v>957</v>
      </c>
      <c r="D39" s="1" t="n">
        <v>122</v>
      </c>
      <c r="E39" s="1" t="n">
        <v>63.9</v>
      </c>
      <c r="F39" s="1" t="n">
        <v>8</v>
      </c>
      <c r="H39" s="1" t="n">
        <v>964.932121965063</v>
      </c>
    </row>
    <row r="40" customFormat="false" ht="15" hidden="false" customHeight="false" outlineLevel="0" collapsed="false">
      <c r="A40" s="1" t="n">
        <v>19</v>
      </c>
      <c r="B40" s="1" t="n">
        <v>-29</v>
      </c>
      <c r="C40" s="1" t="n">
        <v>893</v>
      </c>
      <c r="D40" s="1" t="n">
        <v>114</v>
      </c>
      <c r="E40" s="1" t="n">
        <v>63.9</v>
      </c>
      <c r="F40" s="1" t="n">
        <v>8</v>
      </c>
      <c r="H40" s="1" t="n">
        <v>900.714161096627</v>
      </c>
    </row>
    <row r="41" customFormat="false" ht="15" hidden="false" customHeight="false" outlineLevel="0" collapsed="false">
      <c r="A41" s="1" t="n">
        <v>19.5</v>
      </c>
      <c r="B41" s="1" t="n">
        <v>-40</v>
      </c>
      <c r="C41" s="1" t="n">
        <v>801</v>
      </c>
      <c r="D41" s="1" t="n">
        <v>102</v>
      </c>
      <c r="E41" s="1" t="n">
        <v>63.9</v>
      </c>
      <c r="F41" s="1" t="n">
        <v>8</v>
      </c>
      <c r="H41" s="1" t="n">
        <v>808.458409567245</v>
      </c>
    </row>
    <row r="42" customFormat="false" ht="15" hidden="false" customHeight="false" outlineLevel="0" collapsed="false">
      <c r="A42" s="1" t="n">
        <v>20</v>
      </c>
      <c r="B42" s="1" t="n">
        <v>-40</v>
      </c>
      <c r="C42" s="1" t="n">
        <v>693</v>
      </c>
      <c r="D42" s="1" t="n">
        <v>99</v>
      </c>
      <c r="E42" s="1" t="n">
        <v>63.9</v>
      </c>
      <c r="F42" s="1" t="n">
        <v>8</v>
      </c>
      <c r="H42" s="1" t="n">
        <v>701.177580930822</v>
      </c>
    </row>
    <row r="43" customFormat="false" ht="15" hidden="false" customHeight="false" outlineLevel="0" collapsed="false">
      <c r="A43" s="1" t="n">
        <v>20.5</v>
      </c>
      <c r="B43" s="1" t="n">
        <v>-38</v>
      </c>
      <c r="C43" s="1" t="n">
        <v>580</v>
      </c>
      <c r="D43" s="1" t="n">
        <v>95</v>
      </c>
      <c r="E43" s="1" t="n">
        <v>63.9</v>
      </c>
      <c r="F43" s="1" t="n">
        <v>8</v>
      </c>
      <c r="H43" s="1" t="n">
        <v>588.955855731141</v>
      </c>
    </row>
    <row r="44" customFormat="false" ht="15" hidden="false" customHeight="false" outlineLevel="0" collapsed="false">
      <c r="A44" s="1" t="n">
        <v>21</v>
      </c>
      <c r="B44" s="1" t="n">
        <v>-36</v>
      </c>
      <c r="C44" s="1" t="n">
        <v>485</v>
      </c>
      <c r="D44" s="1" t="n">
        <v>88</v>
      </c>
      <c r="E44" s="1" t="n">
        <v>63.9</v>
      </c>
      <c r="F44" s="1" t="n">
        <v>8</v>
      </c>
      <c r="H44" s="1" t="n">
        <v>494.231727026908</v>
      </c>
    </row>
    <row r="45" customFormat="false" ht="15" hidden="false" customHeight="false" outlineLevel="0" collapsed="false">
      <c r="A45" s="1" t="n">
        <v>21.5</v>
      </c>
      <c r="B45" s="1" t="n">
        <v>-31</v>
      </c>
      <c r="C45" s="1" t="n">
        <v>381</v>
      </c>
      <c r="D45" s="1" t="n">
        <v>89</v>
      </c>
      <c r="E45" s="1" t="n">
        <v>63.9</v>
      </c>
      <c r="F45" s="1" t="n">
        <v>8</v>
      </c>
      <c r="H45" s="1" t="n">
        <v>392.483120656163</v>
      </c>
    </row>
    <row r="46" customFormat="false" ht="15" hidden="false" customHeight="false" outlineLevel="0" collapsed="false">
      <c r="A46" s="1" t="n">
        <v>22</v>
      </c>
      <c r="B46" s="1" t="n">
        <v>-32</v>
      </c>
      <c r="C46" s="1" t="n">
        <v>316</v>
      </c>
      <c r="D46" s="1" t="n">
        <v>77</v>
      </c>
      <c r="E46" s="1" t="n">
        <v>63.9</v>
      </c>
      <c r="F46" s="1" t="n">
        <v>8</v>
      </c>
      <c r="H46" s="1" t="n">
        <v>326.816462253663</v>
      </c>
    </row>
    <row r="47" customFormat="false" ht="15" hidden="false" customHeight="false" outlineLevel="0" collapsed="false">
      <c r="A47" s="1" t="n">
        <v>22.5</v>
      </c>
      <c r="B47" s="1" t="n">
        <v>-33</v>
      </c>
      <c r="C47" s="1" t="n">
        <v>252</v>
      </c>
      <c r="D47" s="1" t="n">
        <v>74</v>
      </c>
      <c r="E47" s="1" t="n">
        <v>63.9</v>
      </c>
      <c r="F47" s="1" t="n">
        <v>8</v>
      </c>
      <c r="H47" s="1" t="n">
        <v>264.705496731745</v>
      </c>
    </row>
    <row r="48" customFormat="false" ht="15" hidden="false" customHeight="false" outlineLevel="0" collapsed="false">
      <c r="A48" s="1" t="n">
        <v>23</v>
      </c>
      <c r="B48" s="1" t="n">
        <v>-35</v>
      </c>
      <c r="C48" s="1" t="n">
        <v>198</v>
      </c>
      <c r="D48" s="1" t="n">
        <v>69</v>
      </c>
      <c r="E48" s="1" t="n">
        <v>63.9</v>
      </c>
      <c r="F48" s="1" t="n">
        <v>8</v>
      </c>
      <c r="H48" s="1" t="n">
        <v>212.579396932064</v>
      </c>
    </row>
    <row r="49" customFormat="false" ht="15" hidden="false" customHeight="false" outlineLevel="0" collapsed="false">
      <c r="A49" s="1" t="n">
        <v>23.5</v>
      </c>
      <c r="B49" s="1" t="n">
        <v>-38</v>
      </c>
      <c r="C49" s="1" t="n">
        <v>167</v>
      </c>
      <c r="D49" s="1" t="n">
        <v>69</v>
      </c>
      <c r="E49" s="1" t="n">
        <v>63.9</v>
      </c>
      <c r="F49" s="1" t="n">
        <v>8</v>
      </c>
      <c r="H49" s="1" t="n">
        <v>184.645606500669</v>
      </c>
    </row>
    <row r="50" customFormat="false" ht="15" hidden="false" customHeight="false" outlineLevel="0" collapsed="false">
      <c r="A50" s="1" t="n">
        <v>24</v>
      </c>
      <c r="B50" s="1" t="n">
        <v>-39</v>
      </c>
      <c r="C50" s="1" t="n">
        <v>143</v>
      </c>
      <c r="D50" s="1" t="n">
        <v>64</v>
      </c>
      <c r="E50" s="1" t="n">
        <v>63.9</v>
      </c>
      <c r="F50" s="1" t="n">
        <v>8</v>
      </c>
      <c r="H50" s="1" t="n">
        <v>161.449682563949</v>
      </c>
    </row>
    <row r="51" customFormat="false" ht="15" hidden="false" customHeight="false" outlineLevel="0" collapsed="false">
      <c r="A51" s="1" t="n">
        <v>24.5</v>
      </c>
      <c r="B51" s="1" t="n">
        <v>-41</v>
      </c>
      <c r="C51" s="1" t="n">
        <v>126</v>
      </c>
      <c r="D51" s="1" t="n">
        <v>64</v>
      </c>
      <c r="E51" s="1" t="n">
        <v>63.9</v>
      </c>
      <c r="F51" s="1" t="n">
        <v>8</v>
      </c>
      <c r="H51" s="1" t="n">
        <v>147.149583757481</v>
      </c>
    </row>
    <row r="52" customFormat="false" ht="15" hidden="false" customHeight="false" outlineLevel="0" collapsed="false">
      <c r="A52" s="1" t="n">
        <v>25</v>
      </c>
      <c r="B52" s="1" t="n">
        <v>-41</v>
      </c>
      <c r="C52" s="1" t="n">
        <v>110</v>
      </c>
      <c r="D52" s="1" t="n">
        <v>61</v>
      </c>
      <c r="E52" s="1" t="n">
        <v>63.9</v>
      </c>
      <c r="F52" s="1" t="n">
        <v>8</v>
      </c>
      <c r="H52" s="1" t="n">
        <v>132.295124626722</v>
      </c>
    </row>
    <row r="53" customFormat="false" ht="15" hidden="false" customHeight="false" outlineLevel="0" collapsed="false">
      <c r="A53" s="1" t="n">
        <v>25.5</v>
      </c>
      <c r="B53" s="1" t="n">
        <v>-42</v>
      </c>
      <c r="C53" s="1" t="n">
        <v>98</v>
      </c>
      <c r="D53" s="1" t="n">
        <v>60</v>
      </c>
      <c r="E53" s="1" t="n">
        <v>63.9</v>
      </c>
      <c r="F53" s="1" t="n">
        <v>8</v>
      </c>
      <c r="H53" s="1" t="n">
        <v>122.343777937417</v>
      </c>
    </row>
    <row r="54" customFormat="false" ht="15" hidden="false" customHeight="false" outlineLevel="0" collapsed="false">
      <c r="A54" s="1" t="n">
        <v>26</v>
      </c>
      <c r="B54" s="1" t="n">
        <v>-41</v>
      </c>
      <c r="C54" s="1" t="n">
        <v>90</v>
      </c>
      <c r="D54" s="1" t="n">
        <v>58</v>
      </c>
      <c r="E54" s="1" t="n">
        <v>63.9</v>
      </c>
      <c r="F54" s="1" t="n">
        <v>8</v>
      </c>
      <c r="H54" s="1" t="n">
        <v>114.651646303051</v>
      </c>
    </row>
    <row r="55" customFormat="false" ht="15" hidden="false" customHeight="false" outlineLevel="0" collapsed="false">
      <c r="A55" s="1" t="n">
        <v>26.5</v>
      </c>
      <c r="B55" s="1" t="n">
        <v>-49</v>
      </c>
      <c r="C55" s="1" t="n">
        <v>81</v>
      </c>
      <c r="D55" s="1" t="n">
        <v>56</v>
      </c>
      <c r="E55" s="1" t="n">
        <v>63.9</v>
      </c>
      <c r="F55" s="1" t="n">
        <v>8</v>
      </c>
      <c r="H55" s="1" t="n">
        <v>109.990908715221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0.4765625" defaultRowHeight="15" zeroHeight="false" outlineLevelRow="0" outlineLevelCol="0"/>
  <cols>
    <col collapsed="false" customWidth="true" hidden="false" outlineLevel="0" max="1" min="1" style="1" width="8.17"/>
    <col collapsed="false" customWidth="true" hidden="false" outlineLevel="0" max="2" min="2" style="1" width="12.5"/>
    <col collapsed="false" customWidth="true" hidden="false" outlineLevel="0" max="3" min="3" style="1" width="10.67"/>
    <col collapsed="false" customWidth="true" hidden="false" outlineLevel="0" max="4" min="4" style="1" width="8.5"/>
    <col collapsed="false" customWidth="true" hidden="false" outlineLevel="0" max="5" min="5" style="1" width="8.83"/>
    <col collapsed="false" customWidth="true" hidden="false" outlineLevel="0" max="6" min="6" style="1" width="8.5"/>
    <col collapsed="false" customWidth="true" hidden="false" outlineLevel="0" max="7" min="7" style="1" width="11"/>
  </cols>
  <sheetData>
    <row r="1" customFormat="false" ht="15" hidden="false" customHeight="false" outlineLevel="0" collapsed="false">
      <c r="A1" s="3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</row>
    <row r="2" customFormat="false" ht="15" hidden="false" customHeight="false" outlineLevel="0" collapsed="false">
      <c r="A2" s="5" t="n">
        <v>1</v>
      </c>
      <c r="B2" s="1" t="n">
        <v>60</v>
      </c>
      <c r="C2" s="1" t="n">
        <v>64.1</v>
      </c>
      <c r="D2" s="1" t="n">
        <v>1.255</v>
      </c>
      <c r="E2" s="1" t="n">
        <v>1.264</v>
      </c>
      <c r="F2" s="1" t="n">
        <v>1.247</v>
      </c>
      <c r="G2" s="1" t="n">
        <v>2.514</v>
      </c>
    </row>
    <row r="3" customFormat="false" ht="15" hidden="false" customHeight="false" outlineLevel="0" collapsed="false">
      <c r="A3" s="5" t="n">
        <v>2</v>
      </c>
      <c r="B3" s="1" t="n">
        <v>120</v>
      </c>
      <c r="C3" s="1" t="n">
        <v>64.7</v>
      </c>
      <c r="D3" s="1" t="n">
        <v>1.256</v>
      </c>
      <c r="E3" s="1" t="n">
        <v>1.266</v>
      </c>
      <c r="F3" s="1" t="n">
        <v>1.246</v>
      </c>
      <c r="G3" s="1" t="n">
        <v>2.517</v>
      </c>
    </row>
    <row r="4" customFormat="false" ht="15" hidden="false" customHeight="false" outlineLevel="0" collapsed="false">
      <c r="A4" s="5" t="n">
        <v>3</v>
      </c>
      <c r="B4" s="1" t="n">
        <v>360</v>
      </c>
      <c r="C4" s="1" t="n">
        <v>64.1</v>
      </c>
      <c r="D4" s="1" t="n">
        <v>1.25</v>
      </c>
      <c r="E4" s="1" t="n">
        <v>1.26</v>
      </c>
      <c r="F4" s="1" t="n">
        <v>1.24</v>
      </c>
      <c r="G4" s="1" t="n">
        <v>2.518</v>
      </c>
    </row>
    <row r="5" customFormat="false" ht="15" hidden="false" customHeight="false" outlineLevel="0" collapsed="false">
      <c r="A5" s="5" t="n">
        <v>4</v>
      </c>
      <c r="B5" s="1" t="n">
        <v>720</v>
      </c>
      <c r="C5" s="1" t="n">
        <v>64</v>
      </c>
      <c r="D5" s="1" t="n">
        <v>1.267</v>
      </c>
      <c r="E5" s="1" t="n">
        <v>1.279</v>
      </c>
      <c r="F5" s="1" t="n">
        <v>1.254</v>
      </c>
      <c r="G5" s="1" t="n">
        <v>2.519</v>
      </c>
    </row>
    <row r="6" customFormat="false" ht="15" hidden="false" customHeight="false" outlineLevel="0" collapsed="false">
      <c r="A6" s="3" t="n">
        <v>5</v>
      </c>
      <c r="B6" s="4" t="n">
        <v>1200</v>
      </c>
      <c r="C6" s="4" t="n">
        <v>49.5</v>
      </c>
      <c r="D6" s="4" t="n">
        <v>1.262</v>
      </c>
      <c r="E6" s="4" t="n">
        <v>1.272</v>
      </c>
      <c r="F6" s="4" t="n">
        <v>1.247</v>
      </c>
      <c r="G6" s="4" t="n">
        <v>2.52</v>
      </c>
    </row>
    <row r="7" customFormat="false" ht="15" hidden="false" customHeight="false" outlineLevel="0" collapsed="false">
      <c r="A7" s="5" t="n">
        <v>1</v>
      </c>
      <c r="B7" s="1" t="n">
        <v>60</v>
      </c>
      <c r="C7" s="1" t="n">
        <v>57.6</v>
      </c>
      <c r="D7" s="1" t="n">
        <v>1.246</v>
      </c>
      <c r="E7" s="1" t="n">
        <v>1.256</v>
      </c>
      <c r="F7" s="1" t="n">
        <v>1.238</v>
      </c>
      <c r="G7" s="1" t="n">
        <v>2.514</v>
      </c>
    </row>
    <row r="8" customFormat="false" ht="15" hidden="false" customHeight="false" outlineLevel="0" collapsed="false">
      <c r="A8" s="5" t="n">
        <v>2</v>
      </c>
      <c r="B8" s="1" t="n">
        <v>120</v>
      </c>
      <c r="C8" s="1" t="n">
        <v>57.4</v>
      </c>
      <c r="D8" s="1" t="n">
        <v>1.253</v>
      </c>
      <c r="E8" s="1" t="n">
        <v>1.262</v>
      </c>
      <c r="F8" s="1" t="n">
        <v>1.244</v>
      </c>
      <c r="G8" s="1" t="n">
        <v>2.514</v>
      </c>
    </row>
    <row r="9" customFormat="false" ht="15" hidden="false" customHeight="false" outlineLevel="0" collapsed="false">
      <c r="A9" s="5" t="n">
        <v>3</v>
      </c>
      <c r="B9" s="1" t="n">
        <v>360</v>
      </c>
      <c r="C9" s="1" t="n">
        <v>57.9</v>
      </c>
      <c r="D9" s="1" t="n">
        <v>1.245</v>
      </c>
      <c r="E9" s="1" t="n">
        <v>1.254</v>
      </c>
      <c r="F9" s="1" t="n">
        <v>1.234</v>
      </c>
      <c r="G9" s="1" t="n">
        <v>2.514</v>
      </c>
    </row>
    <row r="10" customFormat="false" ht="15" hidden="false" customHeight="false" outlineLevel="0" collapsed="false">
      <c r="A10" s="5" t="n">
        <v>4</v>
      </c>
      <c r="B10" s="1" t="n">
        <v>720</v>
      </c>
      <c r="C10" s="1" t="n">
        <v>57.8</v>
      </c>
      <c r="D10" s="1" t="n">
        <v>1.243</v>
      </c>
      <c r="E10" s="1" t="n">
        <v>1.253</v>
      </c>
      <c r="F10" s="1" t="n">
        <v>1.233</v>
      </c>
      <c r="G10" s="1" t="n">
        <v>2.514</v>
      </c>
    </row>
    <row r="11" customFormat="false" ht="15" hidden="false" customHeight="false" outlineLevel="0" collapsed="false">
      <c r="A11" s="3" t="n">
        <v>5</v>
      </c>
      <c r="B11" s="4" t="n">
        <v>1200</v>
      </c>
      <c r="C11" s="4" t="n">
        <v>41.9</v>
      </c>
      <c r="D11" s="4" t="n">
        <v>1.25</v>
      </c>
      <c r="E11" s="4" t="n">
        <v>1.26</v>
      </c>
      <c r="F11" s="4" t="n">
        <v>1.243</v>
      </c>
      <c r="G11" s="4" t="n">
        <v>2.514</v>
      </c>
    </row>
    <row r="12" customFormat="false" ht="15" hidden="false" customHeight="false" outlineLevel="0" collapsed="false">
      <c r="A12" s="5" t="n">
        <v>1</v>
      </c>
      <c r="B12" s="1" t="n">
        <v>60</v>
      </c>
      <c r="C12" s="1" t="n">
        <v>77.3</v>
      </c>
      <c r="D12" s="1" t="n">
        <v>1.259</v>
      </c>
      <c r="E12" s="1" t="n">
        <v>1.271</v>
      </c>
      <c r="F12" s="1" t="n">
        <v>1.25</v>
      </c>
      <c r="G12" s="1" t="n">
        <v>2.514</v>
      </c>
    </row>
    <row r="13" customFormat="false" ht="15" hidden="false" customHeight="false" outlineLevel="0" collapsed="false">
      <c r="A13" s="5" t="n">
        <v>2</v>
      </c>
      <c r="B13" s="1" t="n">
        <v>120</v>
      </c>
      <c r="C13" s="1" t="n">
        <v>77.1</v>
      </c>
      <c r="D13" s="1" t="n">
        <v>1.27</v>
      </c>
      <c r="E13" s="1" t="n">
        <v>1.281</v>
      </c>
      <c r="F13" s="1" t="n">
        <v>1.259</v>
      </c>
      <c r="G13" s="1" t="n">
        <v>2.514</v>
      </c>
    </row>
    <row r="14" customFormat="false" ht="15" hidden="false" customHeight="false" outlineLevel="0" collapsed="false">
      <c r="A14" s="5" t="n">
        <v>3</v>
      </c>
      <c r="B14" s="1" t="n">
        <v>360</v>
      </c>
      <c r="C14" s="1" t="n">
        <v>77.1</v>
      </c>
      <c r="D14" s="1" t="n">
        <v>1.271</v>
      </c>
      <c r="E14" s="1" t="n">
        <v>1.283</v>
      </c>
      <c r="F14" s="1" t="n">
        <v>1.26</v>
      </c>
      <c r="G14" s="1" t="n">
        <v>2.514</v>
      </c>
    </row>
    <row r="15" customFormat="false" ht="15" hidden="false" customHeight="false" outlineLevel="0" collapsed="false">
      <c r="A15" s="5" t="n">
        <v>4</v>
      </c>
      <c r="B15" s="1" t="n">
        <v>720</v>
      </c>
      <c r="C15" s="1" t="n">
        <v>76.6</v>
      </c>
      <c r="D15" s="1" t="n">
        <v>1.252</v>
      </c>
      <c r="E15" s="1" t="n">
        <v>1.27</v>
      </c>
      <c r="F15" s="1" t="n">
        <v>1.241</v>
      </c>
      <c r="G15" s="1" t="n">
        <v>2.514</v>
      </c>
    </row>
    <row r="16" customFormat="false" ht="15" hidden="false" customHeight="false" outlineLevel="0" collapsed="false">
      <c r="A16" s="3" t="n">
        <v>5</v>
      </c>
      <c r="B16" s="4" t="n">
        <v>1200</v>
      </c>
      <c r="C16" s="4" t="n">
        <v>34.8</v>
      </c>
      <c r="D16" s="4" t="n">
        <v>1.279</v>
      </c>
      <c r="E16" s="4" t="n">
        <v>1.29</v>
      </c>
      <c r="F16" s="4" t="n">
        <v>1.271</v>
      </c>
      <c r="G16" s="4" t="n">
        <v>2.514</v>
      </c>
    </row>
    <row r="17" customFormat="false" ht="15" hidden="false" customHeight="false" outlineLevel="0" collapsed="false">
      <c r="A17" s="5" t="n">
        <v>1</v>
      </c>
      <c r="B17" s="1" t="n">
        <v>60</v>
      </c>
      <c r="C17" s="1" t="n">
        <v>50</v>
      </c>
      <c r="D17" s="1" t="n">
        <v>1.254</v>
      </c>
      <c r="E17" s="1" t="n">
        <v>1.264</v>
      </c>
      <c r="F17" s="1" t="n">
        <v>1.248</v>
      </c>
      <c r="G17" s="1" t="n">
        <v>2.514</v>
      </c>
    </row>
    <row r="18" customFormat="false" ht="15" hidden="false" customHeight="false" outlineLevel="0" collapsed="false">
      <c r="A18" s="5" t="n">
        <v>2</v>
      </c>
      <c r="B18" s="1" t="n">
        <v>120</v>
      </c>
      <c r="C18" s="1" t="n">
        <v>50.1</v>
      </c>
      <c r="D18" s="1" t="n">
        <v>1.273</v>
      </c>
      <c r="E18" s="1" t="n">
        <v>1.281</v>
      </c>
      <c r="F18" s="1" t="n">
        <v>1.263</v>
      </c>
      <c r="G18" s="1" t="n">
        <v>2.514</v>
      </c>
    </row>
    <row r="19" customFormat="false" ht="15" hidden="false" customHeight="false" outlineLevel="0" collapsed="false">
      <c r="A19" s="5" t="n">
        <v>3</v>
      </c>
      <c r="B19" s="1" t="n">
        <v>360</v>
      </c>
      <c r="C19" s="1" t="n">
        <v>50</v>
      </c>
      <c r="D19" s="1" t="n">
        <v>1.273</v>
      </c>
      <c r="E19" s="1" t="n">
        <v>1.282</v>
      </c>
      <c r="F19" s="1" t="n">
        <v>1.263</v>
      </c>
      <c r="G19" s="1" t="n">
        <v>2.514</v>
      </c>
    </row>
    <row r="20" customFormat="false" ht="15" hidden="false" customHeight="false" outlineLevel="0" collapsed="false">
      <c r="A20" s="5" t="n">
        <v>4</v>
      </c>
      <c r="B20" s="1" t="n">
        <v>720</v>
      </c>
      <c r="C20" s="1" t="n">
        <v>50</v>
      </c>
      <c r="D20" s="1" t="n">
        <v>1.275</v>
      </c>
      <c r="E20" s="1" t="n">
        <v>1.286</v>
      </c>
      <c r="F20" s="1" t="n">
        <v>1.267</v>
      </c>
      <c r="G20" s="1" t="n">
        <v>2.514</v>
      </c>
    </row>
    <row r="21" customFormat="false" ht="15" hidden="false" customHeight="false" outlineLevel="0" collapsed="false">
      <c r="A21" s="3" t="n">
        <v>5</v>
      </c>
      <c r="B21" s="4" t="n">
        <v>1200</v>
      </c>
      <c r="C21" s="4" t="n">
        <v>26.1</v>
      </c>
      <c r="D21" s="4" t="n">
        <v>1.273</v>
      </c>
      <c r="E21" s="4" t="n">
        <v>1.28</v>
      </c>
      <c r="F21" s="4" t="n">
        <v>1.267</v>
      </c>
      <c r="G21" s="4" t="n">
        <v>2.514</v>
      </c>
    </row>
    <row r="22" customFormat="false" ht="15" hidden="false" customHeight="false" outlineLevel="0" collapsed="false">
      <c r="A22" s="5" t="n">
        <v>1</v>
      </c>
      <c r="B22" s="1" t="n">
        <v>60</v>
      </c>
      <c r="C22" s="1" t="n">
        <v>30.5</v>
      </c>
      <c r="D22" s="1" t="n">
        <v>1.251</v>
      </c>
      <c r="E22" s="1" t="n">
        <v>1.257</v>
      </c>
      <c r="F22" s="1" t="n">
        <v>1.245</v>
      </c>
      <c r="G22" s="1" t="n">
        <v>2.514</v>
      </c>
    </row>
    <row r="23" customFormat="false" ht="15" hidden="false" customHeight="false" outlineLevel="0" collapsed="false">
      <c r="A23" s="5" t="n">
        <v>2</v>
      </c>
      <c r="B23" s="1" t="n">
        <v>120</v>
      </c>
      <c r="C23" s="1" t="n">
        <v>30.3</v>
      </c>
      <c r="D23" s="1" t="n">
        <v>1.259</v>
      </c>
      <c r="E23" s="1" t="n">
        <v>1.266</v>
      </c>
      <c r="F23" s="1" t="n">
        <v>1.253</v>
      </c>
      <c r="G23" s="1" t="n">
        <v>2.514</v>
      </c>
    </row>
    <row r="24" customFormat="false" ht="15" hidden="false" customHeight="false" outlineLevel="0" collapsed="false">
      <c r="A24" s="5" t="n">
        <v>3</v>
      </c>
      <c r="B24" s="1" t="n">
        <v>360</v>
      </c>
      <c r="C24" s="1" t="n">
        <v>30</v>
      </c>
      <c r="D24" s="1" t="n">
        <v>1.275</v>
      </c>
      <c r="E24" s="1" t="n">
        <v>1.281</v>
      </c>
      <c r="F24" s="1" t="n">
        <v>1.27</v>
      </c>
      <c r="G24" s="1" t="n">
        <v>2.514</v>
      </c>
    </row>
    <row r="25" customFormat="false" ht="15" hidden="false" customHeight="false" outlineLevel="0" collapsed="false">
      <c r="A25" s="5" t="n">
        <v>4</v>
      </c>
      <c r="B25" s="1" t="n">
        <v>720</v>
      </c>
      <c r="C25" s="1" t="n">
        <v>30</v>
      </c>
      <c r="D25" s="1" t="n">
        <v>1.265</v>
      </c>
      <c r="E25" s="1" t="n">
        <v>1.272</v>
      </c>
      <c r="F25" s="1" t="n">
        <v>1.26</v>
      </c>
      <c r="G25" s="1" t="n">
        <v>2.514</v>
      </c>
    </row>
    <row r="26" customFormat="false" ht="15" hidden="false" customHeight="false" outlineLevel="0" collapsed="false">
      <c r="A26" s="5" t="n">
        <v>5</v>
      </c>
      <c r="B26" s="1" t="n">
        <v>1200</v>
      </c>
      <c r="C26" s="1" t="n">
        <v>20</v>
      </c>
      <c r="D26" s="1" t="n">
        <v>1.251</v>
      </c>
      <c r="E26" s="1" t="n">
        <v>1.255</v>
      </c>
      <c r="F26" s="1" t="n">
        <v>1.244</v>
      </c>
      <c r="G26" s="1" t="n">
        <v>2.514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5" activeCellId="0" sqref="L25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32.17"/>
    <col collapsed="false" customWidth="true" hidden="false" outlineLevel="0" max="2" min="2" style="1" width="9.33"/>
    <col collapsed="false" customWidth="true" hidden="false" outlineLevel="0" max="4" min="4" style="1" width="11.67"/>
    <col collapsed="false" customWidth="true" hidden="false" outlineLevel="0" max="5" min="5" style="1" width="31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14"/>
    <col collapsed="false" customWidth="true" hidden="false" outlineLevel="0" max="9" min="9" style="1" width="30"/>
    <col collapsed="false" customWidth="true" hidden="false" outlineLevel="0" max="10" min="10" style="1" width="29"/>
    <col collapsed="false" customWidth="true" hidden="false" outlineLevel="0" max="11" min="11" style="1" width="19"/>
    <col collapsed="false" customWidth="true" hidden="false" outlineLevel="0" max="12" min="12" style="1" width="18"/>
    <col collapsed="false" customWidth="true" hidden="false" outlineLevel="0" max="13" min="13" style="1" width="17.66"/>
    <col collapsed="false" customWidth="true" hidden="false" outlineLevel="0" max="14" min="14" style="1" width="20.17"/>
    <col collapsed="false" customWidth="true" hidden="false" outlineLevel="0" max="15" min="15" style="1" width="18"/>
    <col collapsed="false" customWidth="true" hidden="false" outlineLevel="0" max="16" min="16" style="1" width="17.66"/>
  </cols>
  <sheetData>
    <row r="1" customFormat="false" ht="13.5" hidden="false" customHeight="true" outlineLevel="0" collapsed="false">
      <c r="A1" s="6" t="s">
        <v>15</v>
      </c>
      <c r="B1" s="4"/>
      <c r="C1" s="3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  <c r="M1" s="4" t="s">
        <v>26</v>
      </c>
    </row>
    <row r="2" customFormat="false" ht="15" hidden="false" customHeight="false" outlineLevel="0" collapsed="false">
      <c r="A2" s="7"/>
      <c r="B2" s="8" t="s">
        <v>27</v>
      </c>
      <c r="C2" s="5" t="n">
        <v>1</v>
      </c>
      <c r="D2" s="1" t="n">
        <f aca="false">Metingen!E2-Metingen!F2</f>
        <v>0.0169999999999999</v>
      </c>
      <c r="E2" s="1" t="n">
        <f aca="false">D2/2</f>
        <v>0.00849999999999995</v>
      </c>
      <c r="F2" s="1" t="n">
        <f aca="false">Metingen!D2</f>
        <v>1.255</v>
      </c>
      <c r="G2" s="1" t="n">
        <f aca="false">E2/(2*F2)</f>
        <v>0.00338645418326691</v>
      </c>
      <c r="H2" s="1" t="n">
        <f aca="false">G2/PI()*180</f>
        <v>0.194029532215616</v>
      </c>
      <c r="I2" s="8" t="n">
        <f aca="false">Metingen!C2/$A$4</f>
        <v>1.00312989045383</v>
      </c>
      <c r="J2" s="8" t="n">
        <f aca="false">$A$16*I2</f>
        <v>0.811424418491075</v>
      </c>
      <c r="K2" s="8" t="n">
        <f aca="false">J2*10^(-3)</f>
        <v>0.000811424418491075</v>
      </c>
      <c r="L2" s="1" t="n">
        <f aca="false">G2/(K2*$A$10)</f>
        <v>20.8673420844566</v>
      </c>
      <c r="M2" s="1" t="n">
        <f aca="false">L2/PI()*180</f>
        <v>1195.61063109509</v>
      </c>
    </row>
    <row r="3" customFormat="false" ht="15" hidden="false" customHeight="false" outlineLevel="0" collapsed="false">
      <c r="A3" s="5" t="s">
        <v>28</v>
      </c>
      <c r="C3" s="5" t="n">
        <v>2</v>
      </c>
      <c r="D3" s="1" t="n">
        <f aca="false">Metingen!E3-Metingen!F3</f>
        <v>0.02</v>
      </c>
      <c r="E3" s="1" t="n">
        <f aca="false">D3/2</f>
        <v>0.01</v>
      </c>
      <c r="F3" s="1" t="n">
        <f aca="false">Metingen!D3</f>
        <v>1.256</v>
      </c>
      <c r="G3" s="1" t="n">
        <f aca="false">E3/(2*F3)</f>
        <v>0.00398089171974523</v>
      </c>
      <c r="H3" s="1" t="n">
        <f aca="false">G3/PI()*180</f>
        <v>0.228088294239978</v>
      </c>
      <c r="I3" s="8" t="n">
        <f aca="false">Metingen!C3/$A$4</f>
        <v>1.01251956181534</v>
      </c>
      <c r="J3" s="8" t="n">
        <f aca="false">$A$16*I3</f>
        <v>0.819019654857606</v>
      </c>
      <c r="K3" s="8" t="n">
        <f aca="false">J3*10^(-3)</f>
        <v>0.000819019654857606</v>
      </c>
      <c r="L3" s="1" t="n">
        <f aca="false">G3/(K3*$A$10)</f>
        <v>24.3027850194715</v>
      </c>
      <c r="M3" s="1" t="n">
        <f aca="false">L3/PI()*180</f>
        <v>1392.44701202948</v>
      </c>
    </row>
    <row r="4" customFormat="false" ht="15" hidden="false" customHeight="false" outlineLevel="0" collapsed="false">
      <c r="A4" s="5" t="n">
        <v>63.9</v>
      </c>
      <c r="C4" s="5" t="n">
        <v>3</v>
      </c>
      <c r="D4" s="1" t="n">
        <f aca="false">Metingen!E4-Metingen!F4</f>
        <v>0.02</v>
      </c>
      <c r="E4" s="1" t="n">
        <f aca="false">D4/2</f>
        <v>0.01</v>
      </c>
      <c r="F4" s="1" t="n">
        <f aca="false">Metingen!D4</f>
        <v>1.25</v>
      </c>
      <c r="G4" s="1" t="n">
        <f aca="false">E4/(2*F4)</f>
        <v>0.004</v>
      </c>
      <c r="H4" s="1" t="n">
        <f aca="false">G4/PI()*180</f>
        <v>0.22918311805233</v>
      </c>
      <c r="I4" s="8" t="n">
        <f aca="false">Metingen!C4/$A$4</f>
        <v>1.00312989045383</v>
      </c>
      <c r="J4" s="8" t="n">
        <f aca="false">$A$16*I4</f>
        <v>0.811424418491075</v>
      </c>
      <c r="K4" s="8" t="n">
        <f aca="false">J4*10^(-3)</f>
        <v>0.000811424418491075</v>
      </c>
      <c r="L4" s="1" t="n">
        <f aca="false">G4/(K4*$A$10)</f>
        <v>24.648013473876</v>
      </c>
      <c r="M4" s="1" t="n">
        <f aca="false">L4/PI()*180</f>
        <v>1412.22714543468</v>
      </c>
    </row>
    <row r="5" customFormat="false" ht="15" hidden="false" customHeight="false" outlineLevel="0" collapsed="false">
      <c r="A5" s="5"/>
      <c r="C5" s="5" t="n">
        <v>4</v>
      </c>
      <c r="D5" s="1" t="n">
        <f aca="false">Metingen!E5-Metingen!F5</f>
        <v>0.0249999999999999</v>
      </c>
      <c r="E5" s="1" t="n">
        <f aca="false">D5/2</f>
        <v>0.0125</v>
      </c>
      <c r="F5" s="1" t="n">
        <f aca="false">Metingen!D5</f>
        <v>1.267</v>
      </c>
      <c r="G5" s="1" t="n">
        <f aca="false">E5/(2*F5)</f>
        <v>0.00493291239147591</v>
      </c>
      <c r="H5" s="1" t="n">
        <f aca="false">G5/PI()*180</f>
        <v>0.282635060739355</v>
      </c>
      <c r="I5" s="8" t="n">
        <f aca="false">Metingen!C5/$A$4</f>
        <v>1.00156494522692</v>
      </c>
      <c r="J5" s="8" t="n">
        <f aca="false">$A$16*I5</f>
        <v>0.81015854576332</v>
      </c>
      <c r="K5" s="8" t="n">
        <f aca="false">J5*10^(-3)</f>
        <v>0.00081015854576332</v>
      </c>
      <c r="L5" s="1" t="n">
        <f aca="false">G5/(K5*$A$10)</f>
        <v>30.4441174957192</v>
      </c>
      <c r="M5" s="1" t="n">
        <f aca="false">L5/PI()*180</f>
        <v>1744.3194435051</v>
      </c>
    </row>
    <row r="6" customFormat="false" ht="15" hidden="false" customHeight="false" outlineLevel="0" collapsed="false">
      <c r="A6" s="9" t="s">
        <v>29</v>
      </c>
      <c r="B6" s="10"/>
      <c r="C6" s="11" t="n">
        <v>5</v>
      </c>
      <c r="D6" s="12" t="n">
        <f aca="false">Metingen!E6-Metingen!F6</f>
        <v>0.0249999999999999</v>
      </c>
      <c r="E6" s="12" t="n">
        <f aca="false">D6/2</f>
        <v>0.0125</v>
      </c>
      <c r="F6" s="12" t="n">
        <f aca="false">Metingen!D6</f>
        <v>1.262</v>
      </c>
      <c r="G6" s="12" t="n">
        <f aca="false">E6/(2*F6)</f>
        <v>0.0049524564183835</v>
      </c>
      <c r="H6" s="12" t="n">
        <f aca="false">G6/PI()*180</f>
        <v>0.28375485099585</v>
      </c>
      <c r="I6" s="4" t="n">
        <f aca="false">Metingen!C6/$A$4</f>
        <v>0.774647887323944</v>
      </c>
      <c r="J6" s="4" t="n">
        <f aca="false">$A$16*I6</f>
        <v>0.626607000238818</v>
      </c>
      <c r="K6" s="4" t="n">
        <f aca="false">J6*10^(-3)</f>
        <v>0.000626607000238818</v>
      </c>
      <c r="L6" s="12" t="n">
        <f aca="false">G6/(K6*$A$10)</f>
        <v>39.5180425409864</v>
      </c>
      <c r="M6" s="12" t="n">
        <f aca="false">L6/PI()*180</f>
        <v>2264.21705221697</v>
      </c>
    </row>
    <row r="7" customFormat="false" ht="15" hidden="false" customHeight="false" outlineLevel="0" collapsed="false">
      <c r="A7" s="7" t="n">
        <v>200</v>
      </c>
      <c r="B7" s="8" t="s">
        <v>30</v>
      </c>
      <c r="C7" s="5" t="n">
        <v>1</v>
      </c>
      <c r="D7" s="1" t="n">
        <f aca="false">Metingen!E7-Metingen!F7</f>
        <v>0.018</v>
      </c>
      <c r="E7" s="1" t="n">
        <f aca="false">D7/2</f>
        <v>0.00900000000000001</v>
      </c>
      <c r="F7" s="1" t="n">
        <f aca="false">Metingen!D7</f>
        <v>1.246</v>
      </c>
      <c r="G7" s="1" t="n">
        <f aca="false">E7/(2*F7)</f>
        <v>0.0036115569823435</v>
      </c>
      <c r="H7" s="1" t="n">
        <f aca="false">G7/PI()*180</f>
        <v>0.206926972559286</v>
      </c>
      <c r="I7" s="8" t="n">
        <f aca="false">Metingen!C7/$A$4</f>
        <v>0.901408450704225</v>
      </c>
      <c r="J7" s="8" t="n">
        <f aca="false">$A$16*I7</f>
        <v>0.729142691186988</v>
      </c>
      <c r="K7" s="8" t="n">
        <f aca="false">J7*10^(-3)</f>
        <v>0.000729142691186988</v>
      </c>
      <c r="L7" s="1" t="n">
        <f aca="false">G7/(K7*$A$10)</f>
        <v>24.7657764796639</v>
      </c>
      <c r="M7" s="1" t="n">
        <f aca="false">L7/PI()*180</f>
        <v>1418.9744686491</v>
      </c>
    </row>
    <row r="8" customFormat="false" ht="15" hidden="false" customHeight="false" outlineLevel="0" collapsed="false">
      <c r="A8" s="7"/>
      <c r="C8" s="5" t="n">
        <v>2</v>
      </c>
      <c r="D8" s="1" t="n">
        <f aca="false">Metingen!E8-Metingen!F8</f>
        <v>0.018</v>
      </c>
      <c r="E8" s="1" t="n">
        <f aca="false">D8/2</f>
        <v>0.00900000000000001</v>
      </c>
      <c r="F8" s="1" t="n">
        <f aca="false">Metingen!D8</f>
        <v>1.253</v>
      </c>
      <c r="G8" s="1" t="n">
        <f aca="false">E8/(2*F8)</f>
        <v>0.00359138068635276</v>
      </c>
      <c r="H8" s="1" t="n">
        <f aca="false">G8/PI()*180</f>
        <v>0.20577095595281</v>
      </c>
      <c r="I8" s="8" t="n">
        <f aca="false">Metingen!C8/$A$4</f>
        <v>0.898278560250391</v>
      </c>
      <c r="J8" s="8" t="n">
        <f aca="false">$A$16*I8</f>
        <v>0.726610945731478</v>
      </c>
      <c r="K8" s="8" t="n">
        <f aca="false">J8*10^(-3)</f>
        <v>0.000726610945731478</v>
      </c>
      <c r="L8" s="1" t="n">
        <f aca="false">G8/(K8*$A$10)</f>
        <v>24.7132300129151</v>
      </c>
      <c r="M8" s="1" t="n">
        <f aca="false">L8/PI()*180</f>
        <v>1415.96377787607</v>
      </c>
    </row>
    <row r="9" customFormat="false" ht="15" hidden="false" customHeight="false" outlineLevel="0" collapsed="false">
      <c r="A9" s="9" t="s">
        <v>31</v>
      </c>
      <c r="C9" s="5" t="n">
        <v>3</v>
      </c>
      <c r="D9" s="1" t="n">
        <f aca="false">Metingen!E9-Metingen!F9</f>
        <v>0.02</v>
      </c>
      <c r="E9" s="1" t="n">
        <f aca="false">D9/2</f>
        <v>0.01</v>
      </c>
      <c r="F9" s="1" t="n">
        <f aca="false">Metingen!D9</f>
        <v>1.245</v>
      </c>
      <c r="G9" s="1" t="n">
        <f aca="false">E9/(2*F9)</f>
        <v>0.00401606425702812</v>
      </c>
      <c r="H9" s="1" t="n">
        <f aca="false">G9/PI()*180</f>
        <v>0.230103532181054</v>
      </c>
      <c r="I9" s="8" t="n">
        <f aca="false">Metingen!C9/$A$4</f>
        <v>0.906103286384977</v>
      </c>
      <c r="J9" s="8" t="n">
        <f aca="false">$A$16*I9</f>
        <v>0.732940309370254</v>
      </c>
      <c r="K9" s="8" t="n">
        <f aca="false">J9*10^(-3)</f>
        <v>0.000732940309370254</v>
      </c>
      <c r="L9" s="1" t="n">
        <f aca="false">G9/(K9*$A$10)</f>
        <v>27.3969394620876</v>
      </c>
      <c r="M9" s="1" t="n">
        <f aca="false">L9/PI()*180</f>
        <v>1569.72900275303</v>
      </c>
    </row>
    <row r="10" customFormat="false" ht="15" hidden="false" customHeight="false" outlineLevel="0" collapsed="false">
      <c r="A10" s="7" t="n">
        <v>0.2</v>
      </c>
      <c r="C10" s="5" t="n">
        <v>4</v>
      </c>
      <c r="D10" s="1" t="n">
        <f aca="false">Metingen!E10-Metingen!F10</f>
        <v>0.0199999999999998</v>
      </c>
      <c r="E10" s="1" t="n">
        <f aca="false">D10/2</f>
        <v>0.0099999999999999</v>
      </c>
      <c r="F10" s="1" t="n">
        <f aca="false">Metingen!D10</f>
        <v>1.243</v>
      </c>
      <c r="G10" s="1" t="n">
        <f aca="false">E10/(2*F10)</f>
        <v>0.00402252614641991</v>
      </c>
      <c r="H10" s="1" t="n">
        <f aca="false">G10/PI()*180</f>
        <v>0.230473771170884</v>
      </c>
      <c r="I10" s="8" t="n">
        <f aca="false">Metingen!C10/$A$4</f>
        <v>0.904538341158059</v>
      </c>
      <c r="J10" s="8" t="n">
        <f aca="false">$A$16*I10</f>
        <v>0.731674436642499</v>
      </c>
      <c r="K10" s="8" t="n">
        <f aca="false">J10*10^(-3)</f>
        <v>0.000731674436642499</v>
      </c>
      <c r="L10" s="1" t="n">
        <f aca="false">G10/(K10*$A$10)</f>
        <v>27.4884972398274</v>
      </c>
      <c r="M10" s="1" t="n">
        <f aca="false">L10/PI()*180</f>
        <v>1574.97487699912</v>
      </c>
    </row>
    <row r="11" customFormat="false" ht="15" hidden="false" customHeight="false" outlineLevel="0" collapsed="false">
      <c r="A11" s="5"/>
      <c r="B11" s="10"/>
      <c r="C11" s="11" t="n">
        <v>5</v>
      </c>
      <c r="D11" s="12" t="n">
        <f aca="false">Metingen!E11-Metingen!F11</f>
        <v>0.0169999999999999</v>
      </c>
      <c r="E11" s="12" t="n">
        <f aca="false">D11/2</f>
        <v>0.00849999999999995</v>
      </c>
      <c r="F11" s="12" t="n">
        <f aca="false">Metingen!D11</f>
        <v>1.25</v>
      </c>
      <c r="G11" s="12" t="n">
        <f aca="false">E11/(2*F11)</f>
        <v>0.00339999999999998</v>
      </c>
      <c r="H11" s="12" t="n">
        <f aca="false">G11/PI()*180</f>
        <v>0.194805650344479</v>
      </c>
      <c r="I11" s="4" t="n">
        <f aca="false">Metingen!C11/$A$4</f>
        <v>0.655712050078247</v>
      </c>
      <c r="J11" s="4" t="n">
        <f aca="false">$A$16*I11</f>
        <v>0.530400672929424</v>
      </c>
      <c r="K11" s="4" t="n">
        <f aca="false">J11*10^(-3)</f>
        <v>0.000530400672929424</v>
      </c>
      <c r="L11" s="12" t="n">
        <f aca="false">G11/(K11*$A$10)</f>
        <v>32.0512413872106</v>
      </c>
      <c r="M11" s="12" t="n">
        <f aca="false">L11/PI()*180</f>
        <v>1836.4008596422</v>
      </c>
    </row>
    <row r="12" customFormat="false" ht="15" hidden="false" customHeight="false" outlineLevel="0" collapsed="false">
      <c r="A12" s="9" t="s">
        <v>32</v>
      </c>
      <c r="B12" s="8" t="s">
        <v>33</v>
      </c>
      <c r="C12" s="5" t="n">
        <v>1</v>
      </c>
      <c r="D12" s="1" t="n">
        <f aca="false">Metingen!E12-Metingen!F12</f>
        <v>0.0209999999999999</v>
      </c>
      <c r="E12" s="1" t="n">
        <f aca="false">D12/2</f>
        <v>0.0105</v>
      </c>
      <c r="F12" s="1" t="n">
        <f aca="false">Metingen!D12</f>
        <v>1.259</v>
      </c>
      <c r="G12" s="1" t="n">
        <f aca="false">E12/(2*F12)</f>
        <v>0.00416997617156472</v>
      </c>
      <c r="H12" s="1" t="n">
        <f aca="false">G12/PI()*180</f>
        <v>0.238922035300779</v>
      </c>
      <c r="I12" s="8" t="n">
        <f aca="false">Metingen!C12/$A$4</f>
        <v>1.20970266040689</v>
      </c>
      <c r="J12" s="8" t="n">
        <f aca="false">$A$16*I12</f>
        <v>0.97851961855476</v>
      </c>
      <c r="K12" s="8" t="n">
        <f aca="false">J12*10^(-3)</f>
        <v>0.00097851961855476</v>
      </c>
      <c r="L12" s="1" t="n">
        <f aca="false">G12/(K12*$A$10)</f>
        <v>21.3075757117861</v>
      </c>
      <c r="M12" s="1" t="n">
        <f aca="false">L12/PI()*180</f>
        <v>1220.8341599408</v>
      </c>
    </row>
    <row r="13" customFormat="false" ht="15" hidden="false" customHeight="false" outlineLevel="0" collapsed="false">
      <c r="A13" s="7" t="n">
        <v>1</v>
      </c>
      <c r="C13" s="5" t="n">
        <v>2</v>
      </c>
      <c r="D13" s="1" t="n">
        <f aca="false">Metingen!E13-Metingen!F13</f>
        <v>0.022</v>
      </c>
      <c r="E13" s="1" t="n">
        <f aca="false">D13/2</f>
        <v>0.011</v>
      </c>
      <c r="F13" s="1" t="n">
        <f aca="false">Metingen!D13</f>
        <v>1.27</v>
      </c>
      <c r="G13" s="1" t="n">
        <f aca="false">E13/(2*F13)</f>
        <v>0.00433070866141733</v>
      </c>
      <c r="H13" s="1" t="n">
        <f aca="false">G13/PI()*180</f>
        <v>0.248131328599963</v>
      </c>
      <c r="I13" s="8" t="n">
        <f aca="false">Metingen!C13/$A$4</f>
        <v>1.20657276995305</v>
      </c>
      <c r="J13" s="8" t="n">
        <f aca="false">$A$16*I13</f>
        <v>0.97598787309925</v>
      </c>
      <c r="K13" s="8" t="n">
        <f aca="false">J13*10^(-3)</f>
        <v>0.00097598787309925</v>
      </c>
      <c r="L13" s="1" t="n">
        <f aca="false">G13/(K13*$A$10)</f>
        <v>22.1862831536275</v>
      </c>
      <c r="M13" s="1" t="n">
        <f aca="false">L13/PI()*180</f>
        <v>1271.18038778505</v>
      </c>
    </row>
    <row r="14" customFormat="false" ht="15" hidden="false" customHeight="false" outlineLevel="0" collapsed="false">
      <c r="A14" s="7"/>
      <c r="C14" s="5" t="n">
        <v>3</v>
      </c>
      <c r="D14" s="1" t="n">
        <f aca="false">Metingen!E14-Metingen!F14</f>
        <v>0.0229999999999999</v>
      </c>
      <c r="E14" s="1" t="n">
        <f aca="false">D14/2</f>
        <v>0.0115</v>
      </c>
      <c r="F14" s="1" t="n">
        <f aca="false">Metingen!D14</f>
        <v>1.271</v>
      </c>
      <c r="G14" s="1" t="n">
        <f aca="false">E14/(2*F14)</f>
        <v>0.00452399685287174</v>
      </c>
      <c r="H14" s="1" t="n">
        <f aca="false">G14/PI()*180</f>
        <v>0.259205926200017</v>
      </c>
      <c r="I14" s="8" t="n">
        <f aca="false">Metingen!C14/$A$4</f>
        <v>1.20657276995305</v>
      </c>
      <c r="J14" s="8" t="n">
        <f aca="false">$A$16*I14</f>
        <v>0.97598787309925</v>
      </c>
      <c r="K14" s="8" t="n">
        <f aca="false">J14*10^(-3)</f>
        <v>0.00097598787309925</v>
      </c>
      <c r="L14" s="1" t="n">
        <f aca="false">G14/(K14*$A$10)</f>
        <v>23.1765013560352</v>
      </c>
      <c r="M14" s="1" t="n">
        <f aca="false">L14/PI()*180</f>
        <v>1327.91571158005</v>
      </c>
    </row>
    <row r="15" customFormat="false" ht="15" hidden="false" customHeight="false" outlineLevel="0" collapsed="false">
      <c r="A15" s="9" t="s">
        <v>34</v>
      </c>
      <c r="C15" s="5" t="n">
        <v>4</v>
      </c>
      <c r="D15" s="1" t="n">
        <f aca="false">Metingen!E15-Metingen!F15</f>
        <v>0.0289999999999999</v>
      </c>
      <c r="E15" s="1" t="n">
        <f aca="false">D15/2</f>
        <v>0.0145</v>
      </c>
      <c r="F15" s="1" t="n">
        <f aca="false">Metingen!D15</f>
        <v>1.252</v>
      </c>
      <c r="G15" s="1" t="n">
        <f aca="false">E15/(2*F15)</f>
        <v>0.00579073482428113</v>
      </c>
      <c r="H15" s="1" t="n">
        <f aca="false">G15/PI()*180</f>
        <v>0.331784665710739</v>
      </c>
      <c r="I15" s="8" t="n">
        <f aca="false">Metingen!C15/$A$4</f>
        <v>1.19874804381847</v>
      </c>
      <c r="J15" s="8" t="n">
        <f aca="false">$A$16*I15</f>
        <v>0.969658509460474</v>
      </c>
      <c r="K15" s="8" t="n">
        <f aca="false">J15*10^(-3)</f>
        <v>0.000969658509460474</v>
      </c>
      <c r="L15" s="1" t="n">
        <f aca="false">G15/(K15*$A$10)</f>
        <v>29.8596607351136</v>
      </c>
      <c r="M15" s="1" t="n">
        <f aca="false">L15/PI()*180</f>
        <v>1710.83253781451</v>
      </c>
    </row>
    <row r="16" customFormat="false" ht="15" hidden="false" customHeight="false" outlineLevel="0" collapsed="false">
      <c r="A16" s="7" t="n">
        <f aca="false">(A19/$A$7)*10^(3)</f>
        <v>0.808892673035565</v>
      </c>
      <c r="B16" s="10"/>
      <c r="C16" s="11" t="n">
        <v>5</v>
      </c>
      <c r="D16" s="12" t="n">
        <f aca="false">Metingen!E16-Metingen!F16</f>
        <v>0.0190000000000001</v>
      </c>
      <c r="E16" s="12" t="n">
        <f aca="false">D16/2</f>
        <v>0.00950000000000006</v>
      </c>
      <c r="F16" s="12" t="n">
        <f aca="false">Metingen!D16</f>
        <v>1.279</v>
      </c>
      <c r="G16" s="12" t="n">
        <f aca="false">E16/(2*F16)</f>
        <v>0.0037138389366693</v>
      </c>
      <c r="H16" s="12" t="n">
        <f aca="false">G16/PI()*180</f>
        <v>0.212787296862504</v>
      </c>
      <c r="I16" s="4" t="n">
        <f aca="false">Metingen!C16/$A$4</f>
        <v>0.544600938967136</v>
      </c>
      <c r="J16" s="4" t="n">
        <f aca="false">$A$16*I16</f>
        <v>0.440523709258805</v>
      </c>
      <c r="K16" s="4" t="n">
        <f aca="false">J16*10^(-3)</f>
        <v>0.000440523709258805</v>
      </c>
      <c r="L16" s="12" t="n">
        <f aca="false">G16/(K16*$A$10)</f>
        <v>42.1525431958923</v>
      </c>
      <c r="M16" s="12" t="n">
        <f aca="false">L16/PI()*180</f>
        <v>2415.16282086752</v>
      </c>
    </row>
    <row r="17" customFormat="false" ht="15" hidden="false" customHeight="false" outlineLevel="0" collapsed="false">
      <c r="A17" s="7"/>
      <c r="B17" s="8" t="s">
        <v>35</v>
      </c>
      <c r="C17" s="5" t="n">
        <v>1</v>
      </c>
      <c r="D17" s="1" t="n">
        <f aca="false">Metingen!E17-Metingen!F17</f>
        <v>0.016</v>
      </c>
      <c r="E17" s="1" t="n">
        <f aca="false">D17/2</f>
        <v>0.00800000000000001</v>
      </c>
      <c r="F17" s="1" t="n">
        <f aca="false">Metingen!D17</f>
        <v>1.254</v>
      </c>
      <c r="G17" s="1" t="n">
        <f aca="false">E17/(2*F17)</f>
        <v>0.00318979266347688</v>
      </c>
      <c r="H17" s="1" t="n">
        <f aca="false">G17/PI()*180</f>
        <v>0.182761657139019</v>
      </c>
      <c r="I17" s="8" t="n">
        <f aca="false">Metingen!C17/$A$4</f>
        <v>0.782472613458529</v>
      </c>
      <c r="J17" s="8" t="n">
        <f aca="false">$A$16*I17</f>
        <v>0.632936363877594</v>
      </c>
      <c r="K17" s="8" t="n">
        <f aca="false">J17*10^(-3)</f>
        <v>0.000632936363877594</v>
      </c>
      <c r="L17" s="1" t="n">
        <f aca="false">G17/(K17*$A$10)</f>
        <v>25.1983678417137</v>
      </c>
      <c r="M17" s="1" t="n">
        <f aca="false">L17/PI()*180</f>
        <v>1443.76012794837</v>
      </c>
    </row>
    <row r="18" customFormat="false" ht="15" hidden="false" customHeight="false" outlineLevel="0" collapsed="false">
      <c r="A18" s="9" t="s">
        <v>36</v>
      </c>
      <c r="C18" s="5" t="n">
        <v>2</v>
      </c>
      <c r="D18" s="1" t="n">
        <f aca="false">Metingen!E18-Metingen!F18</f>
        <v>0.018</v>
      </c>
      <c r="E18" s="1" t="n">
        <f aca="false">D18/2</f>
        <v>0.00900000000000001</v>
      </c>
      <c r="F18" s="1" t="n">
        <f aca="false">Metingen!D18</f>
        <v>1.273</v>
      </c>
      <c r="G18" s="1" t="n">
        <f aca="false">E18/(2*F18)</f>
        <v>0.00353495679497251</v>
      </c>
      <c r="H18" s="1" t="n">
        <f aca="false">G18/PI()*180</f>
        <v>0.202538105113017</v>
      </c>
      <c r="I18" s="8" t="n">
        <f aca="false">Metingen!C18/$A$4</f>
        <v>0.784037558685446</v>
      </c>
      <c r="J18" s="8" t="n">
        <f aca="false">$A$16*I18</f>
        <v>0.634202236605349</v>
      </c>
      <c r="K18" s="8" t="n">
        <f aca="false">J18*10^(-3)</f>
        <v>0.000634202236605349</v>
      </c>
      <c r="L18" s="1" t="n">
        <f aca="false">G18/(K18*$A$10)</f>
        <v>27.8693182626872</v>
      </c>
      <c r="M18" s="1" t="n">
        <f aca="false">L18/PI()*180</f>
        <v>1596.79431435885</v>
      </c>
    </row>
    <row r="19" customFormat="false" ht="15" hidden="false" customHeight="false" outlineLevel="0" collapsed="false">
      <c r="A19" s="7" t="n">
        <v>0.161778534607113</v>
      </c>
      <c r="C19" s="5" t="n">
        <v>3</v>
      </c>
      <c r="D19" s="1" t="n">
        <f aca="false">Metingen!E19-Metingen!F19</f>
        <v>0.0190000000000001</v>
      </c>
      <c r="E19" s="1" t="n">
        <f aca="false">D19/2</f>
        <v>0.00950000000000006</v>
      </c>
      <c r="F19" s="1" t="n">
        <f aca="false">Metingen!D19</f>
        <v>1.273</v>
      </c>
      <c r="G19" s="1" t="n">
        <f aca="false">E19/(2*F19)</f>
        <v>0.00373134328358212</v>
      </c>
      <c r="H19" s="1" t="n">
        <f aca="false">G19/PI()*180</f>
        <v>0.213790222063742</v>
      </c>
      <c r="I19" s="8" t="n">
        <f aca="false">Metingen!C19/$A$4</f>
        <v>0.782472613458529</v>
      </c>
      <c r="J19" s="8" t="n">
        <f aca="false">$A$16*I19</f>
        <v>0.632936363877594</v>
      </c>
      <c r="K19" s="8" t="n">
        <f aca="false">J19*10^(-3)</f>
        <v>0.000632936363877594</v>
      </c>
      <c r="L19" s="1" t="n">
        <f aca="false">G19/(K19*$A$10)</f>
        <v>29.476448949169</v>
      </c>
      <c r="M19" s="1" t="n">
        <f aca="false">L19/PI()*180</f>
        <v>1688.87611982022</v>
      </c>
    </row>
    <row r="20" customFormat="false" ht="15" hidden="false" customHeight="false" outlineLevel="0" collapsed="false">
      <c r="A20" s="7"/>
      <c r="C20" s="5" t="n">
        <v>4</v>
      </c>
      <c r="D20" s="1" t="n">
        <f aca="false">Metingen!E20-Metingen!F20</f>
        <v>0.0190000000000001</v>
      </c>
      <c r="E20" s="1" t="n">
        <f aca="false">D20/2</f>
        <v>0.00950000000000006</v>
      </c>
      <c r="F20" s="1" t="n">
        <f aca="false">Metingen!D20</f>
        <v>1.275</v>
      </c>
      <c r="G20" s="1" t="n">
        <f aca="false">E20/(2*F20)</f>
        <v>0.00372549019607846</v>
      </c>
      <c r="H20" s="1" t="n">
        <f aca="false">G20/PI()*180</f>
        <v>0.213454864852661</v>
      </c>
      <c r="I20" s="8" t="n">
        <f aca="false">Metingen!C20/$A$4</f>
        <v>0.782472613458529</v>
      </c>
      <c r="J20" s="8" t="n">
        <f aca="false">$A$16*I20</f>
        <v>0.632936363877594</v>
      </c>
      <c r="K20" s="8" t="n">
        <f aca="false">J20*10^(-3)</f>
        <v>0.000632936363877594</v>
      </c>
      <c r="L20" s="1" t="n">
        <f aca="false">G20/(K20*$A$10)</f>
        <v>29.43021138219</v>
      </c>
      <c r="M20" s="1" t="n">
        <f aca="false">L20/PI()*180</f>
        <v>1686.22690237736</v>
      </c>
    </row>
    <row r="21" customFormat="false" ht="15" hidden="false" customHeight="false" outlineLevel="0" collapsed="false">
      <c r="A21" s="13" t="s">
        <v>37</v>
      </c>
      <c r="B21" s="10"/>
      <c r="C21" s="11" t="n">
        <v>5</v>
      </c>
      <c r="D21" s="12" t="n">
        <f aca="false">Metingen!E21-Metingen!F21</f>
        <v>0.0130000000000001</v>
      </c>
      <c r="E21" s="12" t="n">
        <f aca="false">D21/2</f>
        <v>0.00650000000000006</v>
      </c>
      <c r="F21" s="12" t="n">
        <f aca="false">Metingen!D21</f>
        <v>1.273</v>
      </c>
      <c r="G21" s="12" t="n">
        <f aca="false">E21/(2*F21)</f>
        <v>0.00255302435192461</v>
      </c>
      <c r="H21" s="12" t="n">
        <f aca="false">G21/PI()*180</f>
        <v>0.146277520359402</v>
      </c>
      <c r="I21" s="4" t="n">
        <f aca="false">Metingen!C21/$A$4</f>
        <v>0.408450704225352</v>
      </c>
      <c r="J21" s="4" t="n">
        <f aca="false">$A$16*I21</f>
        <v>0.330392781944104</v>
      </c>
      <c r="K21" s="4" t="n">
        <f aca="false">J21*10^(-3)</f>
        <v>0.000330392781944104</v>
      </c>
      <c r="L21" s="12" t="n">
        <f aca="false">G21/(K21*$A$10)</f>
        <v>38.6362004778381</v>
      </c>
      <c r="M21" s="12" t="n">
        <f aca="false">L21/PI()*180</f>
        <v>2213.69122380146</v>
      </c>
    </row>
    <row r="22" customFormat="false" ht="15" hidden="false" customHeight="false" outlineLevel="0" collapsed="false">
      <c r="A22" s="7" t="n">
        <f aca="false">$A$19*(10^(-3))</f>
        <v>0.000161778534607113</v>
      </c>
      <c r="B22" s="8" t="s">
        <v>38</v>
      </c>
      <c r="C22" s="5" t="n">
        <v>1</v>
      </c>
      <c r="D22" s="1" t="n">
        <f aca="false">Metingen!E22-Metingen!F22</f>
        <v>0.0119999999999998</v>
      </c>
      <c r="E22" s="1" t="n">
        <f aca="false">D22/2</f>
        <v>0.00599999999999989</v>
      </c>
      <c r="F22" s="1" t="n">
        <f aca="false">Metingen!D22</f>
        <v>1.251</v>
      </c>
      <c r="G22" s="1" t="n">
        <f aca="false">E22/(2*F22)</f>
        <v>0.00239808153477214</v>
      </c>
      <c r="H22" s="1" t="n">
        <f aca="false">G22/PI()*180</f>
        <v>0.137399950870699</v>
      </c>
      <c r="I22" s="8" t="n">
        <f aca="false">Metingen!C22/$A$4</f>
        <v>0.477308294209703</v>
      </c>
      <c r="J22" s="8" t="n">
        <f aca="false">$A$16*I22</f>
        <v>0.386091181965332</v>
      </c>
      <c r="K22" s="8" t="n">
        <f aca="false">J22*10^(-3)</f>
        <v>0.000386091181965332</v>
      </c>
      <c r="L22" s="1" t="n">
        <f aca="false">G22/(K22*$A$10)</f>
        <v>31.0558962077962</v>
      </c>
      <c r="M22" s="1" t="n">
        <f aca="false">L22/PI()*180</f>
        <v>1779.37178170306</v>
      </c>
    </row>
    <row r="23" customFormat="false" ht="15" hidden="false" customHeight="false" outlineLevel="0" collapsed="false">
      <c r="A23" s="7"/>
      <c r="C23" s="5" t="n">
        <v>2</v>
      </c>
      <c r="D23" s="1" t="n">
        <f aca="false">Metingen!E23-Metingen!F23</f>
        <v>0.0130000000000001</v>
      </c>
      <c r="E23" s="1" t="n">
        <f aca="false">D23/2</f>
        <v>0.00650000000000006</v>
      </c>
      <c r="F23" s="1" t="n">
        <f aca="false">Metingen!D23</f>
        <v>1.259</v>
      </c>
      <c r="G23" s="1" t="n">
        <f aca="false">E23/(2*F23)</f>
        <v>0.00258141382049248</v>
      </c>
      <c r="H23" s="1" t="n">
        <f aca="false">G23/PI()*180</f>
        <v>0.147904117090961</v>
      </c>
      <c r="I23" s="8" t="n">
        <f aca="false">Metingen!C23/$A$4</f>
        <v>0.474178403755869</v>
      </c>
      <c r="J23" s="8" t="n">
        <f aca="false">$A$16*I23</f>
        <v>0.383559436509822</v>
      </c>
      <c r="K23" s="8" t="n">
        <f aca="false">J23*10^(-3)</f>
        <v>0.000383559436509822</v>
      </c>
      <c r="L23" s="1" t="n">
        <f aca="false">G23/(K23*$A$10)</f>
        <v>33.6507666710264</v>
      </c>
      <c r="M23" s="1" t="n">
        <f aca="false">L23/PI()*180</f>
        <v>1928.04690762931</v>
      </c>
    </row>
    <row r="24" customFormat="false" ht="15" hidden="false" customHeight="false" outlineLevel="0" collapsed="false">
      <c r="A24" s="7" t="s">
        <v>39</v>
      </c>
      <c r="C24" s="5" t="n">
        <v>3</v>
      </c>
      <c r="D24" s="1" t="n">
        <f aca="false">Metingen!E24-Metingen!F24</f>
        <v>0.0109999999999999</v>
      </c>
      <c r="E24" s="1" t="n">
        <f aca="false">D24/2</f>
        <v>0.00549999999999995</v>
      </c>
      <c r="F24" s="1" t="n">
        <f aca="false">Metingen!D24</f>
        <v>1.275</v>
      </c>
      <c r="G24" s="1" t="n">
        <f aca="false">E24/(2*F24)</f>
        <v>0.00215686274509802</v>
      </c>
      <c r="H24" s="1" t="n">
        <f aca="false">G24/PI()*180</f>
        <v>0.123579132283118</v>
      </c>
      <c r="I24" s="8" t="n">
        <f aca="false">Metingen!C24/$A$4</f>
        <v>0.469483568075117</v>
      </c>
      <c r="J24" s="8" t="n">
        <f aca="false">$A$16*I24</f>
        <v>0.379761818326556</v>
      </c>
      <c r="K24" s="8" t="n">
        <f aca="false">J24*10^(-3)</f>
        <v>0.000379761818326556</v>
      </c>
      <c r="L24" s="1" t="n">
        <f aca="false">G24/(K24*$A$10)</f>
        <v>28.3975723863232</v>
      </c>
      <c r="M24" s="1" t="n">
        <f aca="false">L24/PI()*180</f>
        <v>1627.06104615357</v>
      </c>
    </row>
    <row r="25" customFormat="false" ht="15" hidden="false" customHeight="false" outlineLevel="0" collapsed="false">
      <c r="A25" s="7" t="n">
        <v>635</v>
      </c>
      <c r="C25" s="5" t="n">
        <v>4</v>
      </c>
      <c r="D25" s="1" t="n">
        <f aca="false">Metingen!E25-Metingen!F25</f>
        <v>0.012</v>
      </c>
      <c r="E25" s="1" t="n">
        <f aca="false">D25/2</f>
        <v>0.00600000000000001</v>
      </c>
      <c r="F25" s="1" t="n">
        <f aca="false">Metingen!D25</f>
        <v>1.265</v>
      </c>
      <c r="G25" s="1" t="n">
        <f aca="false">E25/(2*F25)</f>
        <v>0.00237154150197629</v>
      </c>
      <c r="H25" s="1" t="n">
        <f aca="false">G25/PI()*180</f>
        <v>0.135879319003357</v>
      </c>
      <c r="I25" s="8" t="n">
        <f aca="false">Metingen!C25/$A$4</f>
        <v>0.469483568075117</v>
      </c>
      <c r="J25" s="8" t="n">
        <f aca="false">$A$16*I25</f>
        <v>0.379761818326556</v>
      </c>
      <c r="K25" s="8" t="n">
        <f aca="false">J25*10^(-3)</f>
        <v>0.000379761818326556</v>
      </c>
      <c r="L25" s="1" t="n">
        <f aca="false">G25/(K25*$A$10)</f>
        <v>31.2240644995148</v>
      </c>
      <c r="M25" s="1" t="n">
        <f aca="false">L25/PI()*180</f>
        <v>1789.00711506646</v>
      </c>
    </row>
    <row r="26" customFormat="false" ht="15" hidden="false" customHeight="false" outlineLevel="0" collapsed="false">
      <c r="A26" s="7"/>
      <c r="C26" s="5" t="n">
        <v>5</v>
      </c>
      <c r="D26" s="1" t="n">
        <f aca="false">Metingen!E26-Metingen!F26</f>
        <v>0.0109999999999999</v>
      </c>
      <c r="E26" s="1" t="n">
        <f aca="false">D26/2</f>
        <v>0.00549999999999995</v>
      </c>
      <c r="F26" s="1" t="n">
        <f aca="false">Metingen!D26</f>
        <v>1.251</v>
      </c>
      <c r="G26" s="1" t="n">
        <f aca="false">E26/(2*F26)</f>
        <v>0.00219824140687448</v>
      </c>
      <c r="H26" s="1" t="n">
        <f aca="false">G26/PI()*180</f>
        <v>0.125949954964808</v>
      </c>
      <c r="I26" s="8" t="n">
        <f aca="false">Metingen!C26/$A$4</f>
        <v>0.312989045383412</v>
      </c>
      <c r="J26" s="8" t="n">
        <f aca="false">$A$16*I26</f>
        <v>0.253174545551038</v>
      </c>
      <c r="K26" s="8" t="n">
        <f aca="false">J26*10^(-3)</f>
        <v>0.000253174545551038</v>
      </c>
      <c r="L26" s="1" t="n">
        <f aca="false">G26/(K26*$A$10)</f>
        <v>43.4135549071488</v>
      </c>
      <c r="M26" s="1" t="n">
        <f aca="false">L26/PI()*180</f>
        <v>2487.41346983909</v>
      </c>
    </row>
    <row r="27" customFormat="false" ht="15" hidden="false" customHeight="false" outlineLevel="0" collapsed="false">
      <c r="A27" s="14"/>
      <c r="C27" s="1"/>
      <c r="Q27" s="15"/>
    </row>
    <row r="28" customFormat="false" ht="15" hidden="false" customHeight="false" outlineLevel="0" collapsed="false">
      <c r="A28" s="14"/>
      <c r="C28" s="1"/>
      <c r="Q28" s="15"/>
    </row>
    <row r="29" customFormat="false" ht="15" hidden="false" customHeight="false" outlineLevel="0" collapsed="false">
      <c r="A29" s="14"/>
      <c r="C29" s="1"/>
      <c r="Q29" s="15"/>
    </row>
    <row r="30" customFormat="false" ht="15" hidden="false" customHeight="false" outlineLevel="0" collapsed="false">
      <c r="A30" s="14"/>
      <c r="C30" s="1"/>
      <c r="Q30" s="15"/>
    </row>
    <row r="31" customFormat="false" ht="15" hidden="false" customHeight="false" outlineLevel="0" collapsed="false">
      <c r="A31" s="14"/>
      <c r="C31" s="1"/>
      <c r="Q31" s="15"/>
    </row>
    <row r="32" customFormat="false" ht="15" hidden="false" customHeight="false" outlineLevel="0" collapsed="false">
      <c r="A32" s="14"/>
      <c r="C32" s="1"/>
    </row>
    <row r="33" customFormat="false" ht="15" hidden="false" customHeight="false" outlineLevel="0" collapsed="false">
      <c r="A33" s="16"/>
      <c r="C33" s="1"/>
    </row>
    <row r="34" customFormat="false" ht="15" hidden="false" customHeight="false" outlineLevel="0" collapsed="false">
      <c r="A34" s="16"/>
      <c r="C34" s="1"/>
    </row>
    <row r="35" customFormat="false" ht="15" hidden="false" customHeight="false" outlineLevel="0" collapsed="false">
      <c r="A35" s="16"/>
    </row>
    <row r="36" customFormat="false" ht="15" hidden="false" customHeight="false" outlineLevel="0" collapsed="false">
      <c r="A36" s="16"/>
    </row>
    <row r="37" customFormat="false" ht="15" hidden="false" customHeight="false" outlineLevel="0" collapsed="false">
      <c r="A37" s="16"/>
    </row>
    <row r="38" customFormat="false" ht="15" hidden="false" customHeight="false" outlineLevel="0" collapsed="false">
      <c r="A38" s="16"/>
    </row>
    <row r="39" customFormat="false" ht="15" hidden="false" customHeight="false" outlineLevel="0" collapsed="false">
      <c r="A39" s="16"/>
    </row>
    <row r="40" customFormat="false" ht="15" hidden="false" customHeight="false" outlineLevel="0" collapsed="false">
      <c r="A40" s="16"/>
    </row>
    <row r="41" customFormat="false" ht="15" hidden="false" customHeight="false" outlineLevel="0" collapsed="false">
      <c r="A41" s="16"/>
    </row>
    <row r="42" customFormat="false" ht="15" hidden="false" customHeight="false" outlineLevel="0" collapsed="false">
      <c r="A42" s="16"/>
    </row>
    <row r="43" customFormat="false" ht="15" hidden="false" customHeight="false" outlineLevel="0" collapsed="false">
      <c r="A43" s="16"/>
    </row>
    <row r="44" customFormat="false" ht="15" hidden="false" customHeight="false" outlineLevel="0" collapsed="false">
      <c r="A44" s="16"/>
    </row>
    <row r="45" customFormat="false" ht="15" hidden="false" customHeight="false" outlineLevel="0" collapsed="false">
      <c r="A45" s="16"/>
    </row>
    <row r="46" customFormat="false" ht="15" hidden="false" customHeight="false" outlineLevel="0" collapsed="false">
      <c r="A46" s="16"/>
    </row>
    <row r="47" customFormat="false" ht="15" hidden="false" customHeight="false" outlineLevel="0" collapsed="false">
      <c r="A47" s="16"/>
    </row>
    <row r="48" customFormat="false" ht="15" hidden="false" customHeight="false" outlineLevel="0" collapsed="false">
      <c r="A48" s="16"/>
    </row>
    <row r="49" customFormat="false" ht="15" hidden="false" customHeight="false" outlineLevel="0" collapsed="false">
      <c r="A49" s="16"/>
    </row>
    <row r="50" customFormat="false" ht="15" hidden="false" customHeight="false" outlineLevel="0" collapsed="false">
      <c r="A50" s="16"/>
    </row>
    <row r="51" customFormat="false" ht="15" hidden="false" customHeight="false" outlineLevel="0" collapsed="false">
      <c r="A51" s="16"/>
    </row>
    <row r="52" customFormat="false" ht="15" hidden="false" customHeight="false" outlineLevel="0" collapsed="false">
      <c r="A52" s="16"/>
    </row>
    <row r="53" customFormat="false" ht="15" hidden="false" customHeight="false" outlineLevel="0" collapsed="false">
      <c r="A53" s="16"/>
    </row>
    <row r="54" customFormat="false" ht="15" hidden="false" customHeight="false" outlineLevel="0" collapsed="false">
      <c r="A54" s="16"/>
    </row>
    <row r="55" customFormat="false" ht="15" hidden="false" customHeight="false" outlineLevel="0" collapsed="false">
      <c r="A55" s="16"/>
    </row>
    <row r="56" customFormat="false" ht="15" hidden="false" customHeight="false" outlineLevel="0" collapsed="false">
      <c r="A56" s="16"/>
    </row>
    <row r="57" customFormat="false" ht="15" hidden="false" customHeight="false" outlineLevel="0" collapsed="false">
      <c r="A57" s="16"/>
    </row>
    <row r="58" customFormat="false" ht="15" hidden="false" customHeight="false" outlineLevel="0" collapsed="false">
      <c r="A58" s="16"/>
    </row>
    <row r="59" customFormat="false" ht="15" hidden="false" customHeight="false" outlineLevel="0" collapsed="false">
      <c r="A59" s="16"/>
    </row>
    <row r="60" customFormat="false" ht="15" hidden="false" customHeight="false" outlineLevel="0" collapsed="false">
      <c r="A60" s="16"/>
    </row>
    <row r="61" customFormat="false" ht="15" hidden="false" customHeight="false" outlineLevel="0" collapsed="false">
      <c r="A61" s="16"/>
    </row>
    <row r="62" customFormat="false" ht="15" hidden="false" customHeight="false" outlineLevel="0" collapsed="false">
      <c r="A62" s="16"/>
    </row>
    <row r="63" customFormat="false" ht="15" hidden="false" customHeight="false" outlineLevel="0" collapsed="false">
      <c r="A63" s="16"/>
    </row>
    <row r="64" customFormat="false" ht="15" hidden="false" customHeight="false" outlineLevel="0" collapsed="false">
      <c r="A64" s="16"/>
    </row>
    <row r="65" customFormat="false" ht="15" hidden="false" customHeight="false" outlineLevel="0" collapsed="false">
      <c r="A65" s="16"/>
    </row>
    <row r="66" customFormat="false" ht="15" hidden="false" customHeight="false" outlineLevel="0" collapsed="false">
      <c r="A66" s="16"/>
    </row>
    <row r="67" customFormat="false" ht="15" hidden="false" customHeight="false" outlineLevel="0" collapsed="false">
      <c r="A67" s="16"/>
    </row>
    <row r="68" customFormat="false" ht="15" hidden="false" customHeight="false" outlineLevel="0" collapsed="false">
      <c r="A68" s="16"/>
    </row>
    <row r="69" customFormat="false" ht="15" hidden="false" customHeight="false" outlineLevel="0" collapsed="false">
      <c r="A69" s="16"/>
    </row>
    <row r="70" customFormat="false" ht="15" hidden="false" customHeight="false" outlineLevel="0" collapsed="false">
      <c r="A70" s="16"/>
    </row>
    <row r="71" customFormat="false" ht="15" hidden="false" customHeight="false" outlineLevel="0" collapsed="false">
      <c r="A71" s="16"/>
    </row>
    <row r="72" customFormat="false" ht="15" hidden="false" customHeight="false" outlineLevel="0" collapsed="false">
      <c r="A72" s="16"/>
    </row>
    <row r="73" customFormat="false" ht="15" hidden="false" customHeight="false" outlineLevel="0" collapsed="false">
      <c r="A73" s="16"/>
    </row>
    <row r="74" customFormat="false" ht="15" hidden="false" customHeight="false" outlineLevel="0" collapsed="false">
      <c r="A74" s="16"/>
    </row>
    <row r="75" customFormat="false" ht="15" hidden="false" customHeight="false" outlineLevel="0" collapsed="false">
      <c r="A75" s="16"/>
    </row>
    <row r="76" customFormat="false" ht="15" hidden="false" customHeight="false" outlineLevel="0" collapsed="false">
      <c r="A76" s="16"/>
    </row>
    <row r="77" customFormat="false" ht="15" hidden="false" customHeight="false" outlineLevel="0" collapsed="false">
      <c r="A77" s="16"/>
    </row>
    <row r="78" customFormat="false" ht="15" hidden="false" customHeight="false" outlineLevel="0" collapsed="false">
      <c r="A78" s="16"/>
    </row>
    <row r="79" customFormat="false" ht="15" hidden="false" customHeight="false" outlineLevel="0" collapsed="false">
      <c r="A79" s="16"/>
    </row>
    <row r="80" customFormat="false" ht="15" hidden="false" customHeight="false" outlineLevel="0" collapsed="false">
      <c r="A80" s="16"/>
    </row>
    <row r="81" customFormat="false" ht="15" hidden="false" customHeight="false" outlineLevel="0" collapsed="false">
      <c r="A81" s="16"/>
    </row>
    <row r="82" customFormat="false" ht="15" hidden="false" customHeight="false" outlineLevel="0" collapsed="false">
      <c r="A82" s="16"/>
    </row>
    <row r="83" customFormat="false" ht="15" hidden="false" customHeight="false" outlineLevel="0" collapsed="false">
      <c r="A83" s="16"/>
    </row>
    <row r="84" customFormat="false" ht="15" hidden="false" customHeight="false" outlineLevel="0" collapsed="false">
      <c r="A84" s="16"/>
    </row>
    <row r="85" customFormat="false" ht="15" hidden="false" customHeight="false" outlineLevel="0" collapsed="false">
      <c r="A85" s="16"/>
    </row>
    <row r="86" customFormat="false" ht="15" hidden="false" customHeight="false" outlineLevel="0" collapsed="false">
      <c r="A86" s="16"/>
    </row>
    <row r="87" customFormat="false" ht="15" hidden="false" customHeight="false" outlineLevel="0" collapsed="false">
      <c r="A87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O2" activeCellId="0" sqref="O2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32.17"/>
    <col collapsed="false" customWidth="true" hidden="false" outlineLevel="0" max="2" min="2" style="1" width="9.33"/>
    <col collapsed="false" customWidth="true" hidden="false" outlineLevel="0" max="4" min="4" style="1" width="11.67"/>
    <col collapsed="false" customWidth="true" hidden="false" outlineLevel="0" max="5" min="5" style="1" width="7.73"/>
    <col collapsed="false" customWidth="true" hidden="false" outlineLevel="0" max="6" min="6" style="1" width="9.17"/>
    <col collapsed="false" customWidth="true" hidden="false" outlineLevel="0" max="7" min="7" style="1" width="8.98"/>
    <col collapsed="false" customWidth="true" hidden="false" outlineLevel="0" max="8" min="8" style="1" width="7.92"/>
    <col collapsed="false" customWidth="true" hidden="false" outlineLevel="0" max="9" min="9" style="1" width="8.31"/>
    <col collapsed="false" customWidth="true" hidden="false" outlineLevel="0" max="10" min="10" style="1" width="8.02"/>
    <col collapsed="false" customWidth="true" hidden="false" outlineLevel="0" max="11" min="11" style="1" width="7.82"/>
    <col collapsed="false" customWidth="true" hidden="false" outlineLevel="0" max="12" min="12" style="1" width="8.4"/>
    <col collapsed="false" customWidth="true" hidden="false" outlineLevel="0" max="13" min="13" style="1" width="8.31"/>
    <col collapsed="false" customWidth="true" hidden="false" outlineLevel="0" max="14" min="14" style="1" width="19.48"/>
    <col collapsed="false" customWidth="true" hidden="false" outlineLevel="0" max="15" min="15" style="1" width="16.62"/>
    <col collapsed="false" customWidth="true" hidden="false" outlineLevel="0" max="16" min="16" style="1" width="19"/>
    <col collapsed="false" customWidth="true" hidden="false" outlineLevel="0" max="17" min="17" style="1" width="18"/>
    <col collapsed="false" customWidth="true" hidden="false" outlineLevel="0" max="18" min="18" style="1" width="17.66"/>
    <col collapsed="false" customWidth="true" hidden="false" outlineLevel="0" max="19" min="19" style="1" width="20.17"/>
    <col collapsed="false" customWidth="true" hidden="false" outlineLevel="0" max="20" min="20" style="1" width="18"/>
    <col collapsed="false" customWidth="true" hidden="false" outlineLevel="0" max="21" min="21" style="1" width="17.66"/>
  </cols>
  <sheetData>
    <row r="1" customFormat="false" ht="13.5" hidden="false" customHeight="true" outlineLevel="0" collapsed="false">
      <c r="A1" s="6" t="s">
        <v>15</v>
      </c>
      <c r="B1" s="4"/>
      <c r="C1" s="3" t="s">
        <v>16</v>
      </c>
      <c r="D1" s="4" t="s">
        <v>40</v>
      </c>
      <c r="E1" s="4" t="s">
        <v>41</v>
      </c>
      <c r="F1" s="4" t="s">
        <v>42</v>
      </c>
      <c r="G1" s="4" t="s">
        <v>41</v>
      </c>
      <c r="H1" s="4" t="s">
        <v>43</v>
      </c>
      <c r="I1" s="4" t="s">
        <v>41</v>
      </c>
      <c r="J1" s="4" t="s">
        <v>44</v>
      </c>
      <c r="K1" s="4" t="s">
        <v>41</v>
      </c>
      <c r="L1" s="4" t="s">
        <v>45</v>
      </c>
      <c r="M1" s="4" t="s">
        <v>41</v>
      </c>
      <c r="N1" s="4" t="s">
        <v>22</v>
      </c>
      <c r="O1" s="4" t="s">
        <v>23</v>
      </c>
      <c r="P1" s="4" t="s">
        <v>46</v>
      </c>
      <c r="Q1" s="4"/>
      <c r="R1" s="4"/>
    </row>
    <row r="2" customFormat="false" ht="15" hidden="false" customHeight="false" outlineLevel="0" collapsed="false">
      <c r="A2" s="7"/>
      <c r="B2" s="1" t="s">
        <v>27</v>
      </c>
      <c r="C2" s="5" t="n">
        <v>1</v>
      </c>
      <c r="D2" s="1" t="n">
        <f aca="false">Metingen!F2 / Metingen!G2</f>
        <v>0.496022275258552</v>
      </c>
      <c r="E2" s="1" t="n">
        <f aca="false">D2 * $A$28 * ( 1 / Metingen!F2+ 1 / Metingen!G2)</f>
        <v>0.000595076481805311</v>
      </c>
      <c r="F2" s="1" t="n">
        <f aca="false">Metingen!E2 / Metingen!G2</f>
        <v>0.502784407319014</v>
      </c>
      <c r="G2" s="1" t="n">
        <f aca="false">F2 * $A$28 * (1 / Metingen!E2 + 1 / Metingen!G2)</f>
        <v>0.000597766271805495</v>
      </c>
      <c r="H2" s="1" t="n">
        <f aca="false">ACOS(SQRT(D2))</f>
        <v>0.789375930097912</v>
      </c>
      <c r="I2" s="1" t="n">
        <f aca="false"> E2 / SIN(2 * H2)</f>
        <v>0.000595095313649441</v>
      </c>
      <c r="J2" s="1" t="n">
        <f aca="false">ACOS(SQRT(F2))</f>
        <v>0.782613741686702</v>
      </c>
      <c r="K2" s="1" t="n">
        <f aca="false">G2 / SIN(2 * J2)</f>
        <v>0.000597775540894175</v>
      </c>
      <c r="L2" s="1" t="n">
        <f aca="false">(H2 - J2) / 2</f>
        <v>0.00338109420560506</v>
      </c>
      <c r="M2" s="1" t="n">
        <f aca="false">I2 + K2</f>
        <v>0.00119287085454362</v>
      </c>
      <c r="N2" s="1" t="n">
        <f aca="false">Metingen!C2/$A$4</f>
        <v>1.00312989045383</v>
      </c>
      <c r="O2" s="1" t="n">
        <f aca="false">$A$16*N2</f>
        <v>0.811424418491075</v>
      </c>
      <c r="P2" s="1" t="n">
        <f aca="false">L2 / (A$19 * N2)</f>
        <v>0.0208343138840494</v>
      </c>
    </row>
    <row r="3" customFormat="false" ht="15" hidden="false" customHeight="false" outlineLevel="0" collapsed="false">
      <c r="A3" s="5" t="s">
        <v>28</v>
      </c>
      <c r="C3" s="5" t="n">
        <v>2</v>
      </c>
      <c r="D3" s="1" t="n">
        <f aca="false">Metingen!F3 / Metingen!G3</f>
        <v>0.495033770361542</v>
      </c>
      <c r="E3" s="1" t="n">
        <f aca="false">D3 * $A$28 * ( 1 / Metingen!F3+ 1 / Metingen!G3)</f>
        <v>0.000593974481669266</v>
      </c>
      <c r="F3" s="1" t="n">
        <f aca="false">Metingen!E3 / Metingen!G3</f>
        <v>0.502979737783075</v>
      </c>
      <c r="G3" s="1" t="n">
        <f aca="false">F3 * $A$28 * (1 / Metingen!E3 + 1 / Metingen!G3)</f>
        <v>0.000597131401582469</v>
      </c>
      <c r="H3" s="1" t="n">
        <f aca="false">ACOS(SQRT(D3))</f>
        <v>0.790364474695726</v>
      </c>
      <c r="I3" s="1" t="n">
        <f aca="false"> E3 / SIN(2 * H3)</f>
        <v>0.000594003782741484</v>
      </c>
      <c r="J3" s="1" t="n">
        <f aca="false">ACOS(SQRT(F3))</f>
        <v>0.782418407976353</v>
      </c>
      <c r="K3" s="1" t="n">
        <f aca="false">G3 / SIN(2 * J3)</f>
        <v>0.000597142005529992</v>
      </c>
      <c r="L3" s="1" t="n">
        <f aca="false">(H3 - J3) / 2</f>
        <v>0.0039730333596863</v>
      </c>
      <c r="M3" s="1" t="n">
        <f aca="false">I3 + K3</f>
        <v>0.00119114578827148</v>
      </c>
      <c r="N3" s="1" t="n">
        <f aca="false">Metingen!C3/$A$4</f>
        <v>1.01251956181534</v>
      </c>
      <c r="O3" s="1" t="n">
        <f aca="false">$A$16*N3</f>
        <v>0.819019654857606</v>
      </c>
      <c r="P3" s="1" t="n">
        <f aca="false">L3 / (A$19 * N3)</f>
        <v>0.0242548108346499</v>
      </c>
    </row>
    <row r="4" customFormat="false" ht="15" hidden="false" customHeight="false" outlineLevel="0" collapsed="false">
      <c r="A4" s="5" t="n">
        <v>63.9</v>
      </c>
      <c r="C4" s="5" t="n">
        <v>3</v>
      </c>
      <c r="D4" s="1" t="n">
        <f aca="false">Metingen!F4 / Metingen!G4</f>
        <v>0.492454328832407</v>
      </c>
      <c r="E4" s="1" t="n">
        <f aca="false">D4 * $A$28 * ( 1 / Metingen!F4+ 1 / Metingen!G4)</f>
        <v>0.000592714189369503</v>
      </c>
      <c r="F4" s="1" t="n">
        <f aca="false">Metingen!E4 / Metingen!G4</f>
        <v>0.500397140587768</v>
      </c>
      <c r="G4" s="1" t="n">
        <f aca="false">F4 * $A$28 * (1 / Metingen!E4 + 1 / Metingen!G4)</f>
        <v>0.000595868602298557</v>
      </c>
      <c r="H4" s="1" t="n">
        <f aca="false">ACOS(SQRT(D4))</f>
        <v>0.792944121013757</v>
      </c>
      <c r="I4" s="1" t="n">
        <f aca="false"> E4 / SIN(2 * H4)</f>
        <v>0.000592781695818005</v>
      </c>
      <c r="J4" s="1" t="n">
        <f aca="false">ACOS(SQRT(F4))</f>
        <v>0.785001022767922</v>
      </c>
      <c r="K4" s="1" t="n">
        <f aca="false">G4 / SIN(2 * J4)</f>
        <v>0.000595868790260209</v>
      </c>
      <c r="L4" s="1" t="n">
        <f aca="false">(H4 - J4) / 2</f>
        <v>0.0039715491229177</v>
      </c>
      <c r="M4" s="1" t="n">
        <f aca="false">I4 + K4</f>
        <v>0.00118865048607821</v>
      </c>
      <c r="N4" s="1" t="n">
        <f aca="false">Metingen!C4/$A$4</f>
        <v>1.00312989045383</v>
      </c>
      <c r="O4" s="1" t="n">
        <f aca="false">$A$16*N4</f>
        <v>0.811424418491075</v>
      </c>
      <c r="P4" s="1" t="n">
        <f aca="false">L4 / (A$19 * N4)</f>
        <v>0.0244726990734589</v>
      </c>
    </row>
    <row r="5" customFormat="false" ht="15" hidden="false" customHeight="false" outlineLevel="0" collapsed="false">
      <c r="A5" s="5"/>
      <c r="C5" s="5" t="n">
        <v>4</v>
      </c>
      <c r="D5" s="1" t="n">
        <f aca="false">Metingen!F5 / Metingen!G5</f>
        <v>0.497816593886463</v>
      </c>
      <c r="E5" s="1" t="n">
        <f aca="false">D5 * $A$28 * ( 1 / Metingen!F5+ 1 / Metingen!G5)</f>
        <v>0.000594607619645281</v>
      </c>
      <c r="F5" s="1" t="n">
        <f aca="false">Metingen!E5 / Metingen!G5</f>
        <v>0.507741167129813</v>
      </c>
      <c r="G5" s="1" t="n">
        <f aca="false">F5 * $A$28 * (1 / Metingen!E5 + 1 / Metingen!G5)</f>
        <v>0.000598547505807786</v>
      </c>
      <c r="H5" s="1" t="n">
        <f aca="false">ACOS(SQRT(D5))</f>
        <v>0.787581576450291</v>
      </c>
      <c r="I5" s="1" t="n">
        <f aca="false"> E5 / SIN(2 * H5)</f>
        <v>0.000594613289027289</v>
      </c>
      <c r="J5" s="1" t="n">
        <f aca="false">ACOS(SQRT(F5))</f>
        <v>0.777656686971194</v>
      </c>
      <c r="K5" s="1" t="n">
        <f aca="false">G5 / SIN(2 * J5)</f>
        <v>0.000598619255425842</v>
      </c>
      <c r="L5" s="1" t="n">
        <f aca="false">(H5 - J5) / 2</f>
        <v>0.00496244473954854</v>
      </c>
      <c r="M5" s="1" t="n">
        <f aca="false">I5 + K5</f>
        <v>0.00119323254445313</v>
      </c>
      <c r="N5" s="1" t="n">
        <f aca="false">Metingen!C5/$A$4</f>
        <v>1.00156494522692</v>
      </c>
      <c r="O5" s="1" t="n">
        <f aca="false">$A$16*N5</f>
        <v>0.81015854576332</v>
      </c>
      <c r="P5" s="1" t="n">
        <f aca="false">L5 / (A$19 * N5)</f>
        <v>0.0306263802653158</v>
      </c>
    </row>
    <row r="6" customFormat="false" ht="15" hidden="false" customHeight="false" outlineLevel="0" collapsed="false">
      <c r="A6" s="9" t="s">
        <v>29</v>
      </c>
      <c r="B6" s="10"/>
      <c r="C6" s="11" t="n">
        <v>5</v>
      </c>
      <c r="D6" s="1" t="n">
        <f aca="false">Metingen!F6 / Metingen!G6</f>
        <v>0.49484126984127</v>
      </c>
      <c r="E6" s="1" t="n">
        <f aca="false">D6 * $A$28 * ( 1 / Metingen!F6+ 1 / Metingen!G6)</f>
        <v>0.000593190980095742</v>
      </c>
      <c r="F6" s="1" t="n">
        <f aca="false">Metingen!E6 / Metingen!G6</f>
        <v>0.504761904761905</v>
      </c>
      <c r="G6" s="1" t="n">
        <f aca="false">F6 * $A$28 * (1 / Metingen!E6 + 1 / Metingen!G6)</f>
        <v>0.000597127739984883</v>
      </c>
      <c r="H6" s="1" t="n">
        <f aca="false">ACOS(SQRT(D6))</f>
        <v>0.790556985085023</v>
      </c>
      <c r="I6" s="1" t="n">
        <f aca="false"> E6 / SIN(2 * H6)</f>
        <v>0.000593222555202821</v>
      </c>
      <c r="J6" s="1" t="n">
        <f aca="false">ACOS(SQRT(F6))</f>
        <v>0.780636186646139</v>
      </c>
      <c r="K6" s="1" t="n">
        <f aca="false">G6 / SIN(2 * J6)</f>
        <v>0.00059715482245037</v>
      </c>
      <c r="L6" s="1" t="n">
        <f aca="false">(H6 - J6) / 2</f>
        <v>0.00496039921944225</v>
      </c>
      <c r="M6" s="1" t="n">
        <f aca="false">I6 + K6</f>
        <v>0.00119037737765319</v>
      </c>
      <c r="N6" s="4" t="n">
        <f aca="false">Metingen!C6/$A$4</f>
        <v>0.774647887323944</v>
      </c>
      <c r="O6" s="4" t="n">
        <f aca="false">$A$16*N6</f>
        <v>0.626607000238818</v>
      </c>
      <c r="P6" s="1" t="n">
        <f aca="false">L6 / (A$19 * N6)</f>
        <v>0.0395814219881975</v>
      </c>
      <c r="Q6" s="12"/>
      <c r="R6" s="12"/>
    </row>
    <row r="7" customFormat="false" ht="15" hidden="false" customHeight="false" outlineLevel="0" collapsed="false">
      <c r="A7" s="7" t="n">
        <v>200</v>
      </c>
      <c r="B7" s="1" t="s">
        <v>30</v>
      </c>
      <c r="C7" s="5" t="n">
        <v>1</v>
      </c>
      <c r="D7" s="1" t="n">
        <f aca="false">Metingen!F7 / Metingen!G7</f>
        <v>0.492442322991249</v>
      </c>
      <c r="E7" s="1" t="n">
        <f aca="false">D7 * $A$28 * ( 1 / Metingen!F7+ 1 / Metingen!G7)</f>
        <v>0.000593652475334626</v>
      </c>
      <c r="F7" s="1" t="n">
        <f aca="false">Metingen!E7 / Metingen!G7</f>
        <v>0.499602227525855</v>
      </c>
      <c r="G7" s="1" t="n">
        <f aca="false">F7 * $A$28 * (1 / Metingen!E7 + 1 / Metingen!G7)</f>
        <v>0.000596500488275996</v>
      </c>
      <c r="H7" s="1" t="n">
        <f aca="false">ACOS(SQRT(D7))</f>
        <v>0.792956128224483</v>
      </c>
      <c r="I7" s="1" t="n">
        <f aca="false"> E7 / SIN(2 * H7)</f>
        <v>0.000593720304013839</v>
      </c>
      <c r="J7" s="1" t="n">
        <f aca="false">ACOS(SQRT(F7))</f>
        <v>0.785795935913551</v>
      </c>
      <c r="K7" s="1" t="n">
        <f aca="false">G7 / SIN(2 * J7)</f>
        <v>0.000596500677036209</v>
      </c>
      <c r="L7" s="1" t="n">
        <f aca="false">(H7 - J7) / 2</f>
        <v>0.00358009615546595</v>
      </c>
      <c r="M7" s="1" t="n">
        <f aca="false">I7 + K7</f>
        <v>0.00119022098105005</v>
      </c>
      <c r="N7" s="1" t="n">
        <f aca="false">Metingen!C7/$A$4</f>
        <v>0.901408450704225</v>
      </c>
      <c r="O7" s="1" t="n">
        <f aca="false">$A$16*N7</f>
        <v>0.729142691186988</v>
      </c>
      <c r="P7" s="1" t="n">
        <f aca="false">L7 / (A$19 * N7)</f>
        <v>0.0245500380017376</v>
      </c>
    </row>
    <row r="8" customFormat="false" ht="15" hidden="false" customHeight="false" outlineLevel="0" collapsed="false">
      <c r="A8" s="7"/>
      <c r="C8" s="5" t="n">
        <v>2</v>
      </c>
      <c r="D8" s="1" t="n">
        <f aca="false">Metingen!F8 / Metingen!G8</f>
        <v>0.494828957836118</v>
      </c>
      <c r="E8" s="1" t="n">
        <f aca="false">D8 * $A$28 * ( 1 / Metingen!F8+ 1 / Metingen!G8)</f>
        <v>0.00059460181298175</v>
      </c>
      <c r="F8" s="1" t="n">
        <f aca="false">Metingen!E8 / Metingen!G8</f>
        <v>0.501988862370724</v>
      </c>
      <c r="G8" s="1" t="n">
        <f aca="false">F8 * $A$28 * (1 / Metingen!E8 + 1 / Metingen!G8)</f>
        <v>0.00059744982592312</v>
      </c>
      <c r="H8" s="1" t="n">
        <f aca="false">ACOS(SQRT(D8))</f>
        <v>0.790569297747099</v>
      </c>
      <c r="I8" s="1" t="n">
        <f aca="false"> E8 / SIN(2 * H8)</f>
        <v>0.000594633614453773</v>
      </c>
      <c r="J8" s="1" t="n">
        <f aca="false">ACOS(SQRT(F8))</f>
        <v>0.783409295781959</v>
      </c>
      <c r="K8" s="1" t="n">
        <f aca="false">G8 / SIN(2 * J8)</f>
        <v>0.000597454552492643</v>
      </c>
      <c r="L8" s="1" t="n">
        <f aca="false">(H8 - J8) / 2</f>
        <v>0.00358000098257</v>
      </c>
      <c r="M8" s="1" t="n">
        <f aca="false">I8 + K8</f>
        <v>0.00119208816694642</v>
      </c>
      <c r="N8" s="1" t="n">
        <f aca="false">Metingen!C8/$A$4</f>
        <v>0.898278560250391</v>
      </c>
      <c r="O8" s="1" t="n">
        <f aca="false">$A$16*N8</f>
        <v>0.726610945731478</v>
      </c>
      <c r="P8" s="1" t="n">
        <f aca="false">L8 / (A$19 * N8)</f>
        <v>0.0246349232942398</v>
      </c>
    </row>
    <row r="9" customFormat="false" ht="15" hidden="false" customHeight="false" outlineLevel="0" collapsed="false">
      <c r="A9" s="9" t="s">
        <v>31</v>
      </c>
      <c r="C9" s="5" t="n">
        <v>3</v>
      </c>
      <c r="D9" s="1" t="n">
        <f aca="false">Metingen!F9 / Metingen!G9</f>
        <v>0.49085123309467</v>
      </c>
      <c r="E9" s="1" t="n">
        <f aca="false">D9 * $A$28 * ( 1 / Metingen!F9+ 1 / Metingen!G9)</f>
        <v>0.000593019583569877</v>
      </c>
      <c r="F9" s="1" t="n">
        <f aca="false">Metingen!E9 / Metingen!G9</f>
        <v>0.498806682577566</v>
      </c>
      <c r="G9" s="1" t="n">
        <f aca="false">F9 * $A$28 * (1 / Metingen!E9 + 1 / Metingen!G9)</f>
        <v>0.000596184042393623</v>
      </c>
      <c r="H9" s="1" t="n">
        <f aca="false">ACOS(SQRT(D9))</f>
        <v>0.794547440880508</v>
      </c>
      <c r="I9" s="1" t="n">
        <f aca="false"> E9 / SIN(2 * H9)</f>
        <v>0.000593118879906114</v>
      </c>
      <c r="J9" s="1" t="n">
        <f aca="false">ACOS(SQRT(F9))</f>
        <v>0.786591481952747</v>
      </c>
      <c r="K9" s="1" t="n">
        <f aca="false">G9 / SIN(2 * J9)</f>
        <v>0.000596185740340744</v>
      </c>
      <c r="L9" s="1" t="n">
        <f aca="false">(H9 - J9) / 2</f>
        <v>0.00397797946388068</v>
      </c>
      <c r="M9" s="1" t="n">
        <f aca="false">I9 + K9</f>
        <v>0.00118930462024686</v>
      </c>
      <c r="N9" s="1" t="n">
        <f aca="false">Metingen!C9/$A$4</f>
        <v>0.906103286384977</v>
      </c>
      <c r="O9" s="1" t="n">
        <f aca="false">$A$16*N9</f>
        <v>0.732940309370254</v>
      </c>
      <c r="P9" s="1" t="n">
        <f aca="false">L9 / (A$19 * N9)</f>
        <v>0.0271371311757882</v>
      </c>
    </row>
    <row r="10" customFormat="false" ht="15" hidden="false" customHeight="false" outlineLevel="0" collapsed="false">
      <c r="A10" s="7" t="n">
        <v>0.2</v>
      </c>
      <c r="C10" s="5" t="n">
        <v>4</v>
      </c>
      <c r="D10" s="1" t="n">
        <f aca="false">Metingen!F10 / Metingen!G10</f>
        <v>0.490453460620525</v>
      </c>
      <c r="E10" s="1" t="n">
        <f aca="false">D10 * $A$28 * ( 1 / Metingen!F10+ 1 / Metingen!G10)</f>
        <v>0.000592861360628689</v>
      </c>
      <c r="F10" s="1" t="n">
        <f aca="false">Metingen!E10 / Metingen!G10</f>
        <v>0.498408910103421</v>
      </c>
      <c r="G10" s="1" t="n">
        <f aca="false">F10 * $A$28 * (1 / Metingen!E10 + 1 / Metingen!G10)</f>
        <v>0.000596025819452435</v>
      </c>
      <c r="H10" s="1" t="n">
        <f aca="false">ACOS(SQRT(D10))</f>
        <v>0.794945282897005</v>
      </c>
      <c r="I10" s="1" t="n">
        <f aca="false"> E10 / SIN(2 * H10)</f>
        <v>0.000592969452699919</v>
      </c>
      <c r="J10" s="1" t="n">
        <f aca="false">ACOS(SQRT(F10))</f>
        <v>0.78698925597934</v>
      </c>
      <c r="K10" s="1" t="n">
        <f aca="false">G10 / SIN(2 * J10)</f>
        <v>0.000596028837234016</v>
      </c>
      <c r="L10" s="1" t="n">
        <f aca="false">(H10 - J10) / 2</f>
        <v>0.00397801345883247</v>
      </c>
      <c r="M10" s="1" t="n">
        <f aca="false">I10 + K10</f>
        <v>0.00118899828993393</v>
      </c>
      <c r="N10" s="1" t="n">
        <f aca="false">Metingen!C10/$A$4</f>
        <v>0.904538341158059</v>
      </c>
      <c r="O10" s="1" t="n">
        <f aca="false">$A$16*N10</f>
        <v>0.731674436642499</v>
      </c>
      <c r="P10" s="1" t="n">
        <f aca="false">L10 / (A$19 * N10)</f>
        <v>0.0271843135390021</v>
      </c>
    </row>
    <row r="11" customFormat="false" ht="15" hidden="false" customHeight="false" outlineLevel="0" collapsed="false">
      <c r="A11" s="5"/>
      <c r="B11" s="10"/>
      <c r="C11" s="11" t="n">
        <v>5</v>
      </c>
      <c r="D11" s="1" t="n">
        <f aca="false">Metingen!F11 / Metingen!G11</f>
        <v>0.494431185361973</v>
      </c>
      <c r="E11" s="1" t="n">
        <f aca="false">D11 * $A$28 * ( 1 / Metingen!F11+ 1 / Metingen!G11)</f>
        <v>0.000594443590040562</v>
      </c>
      <c r="F11" s="1" t="n">
        <f aca="false">Metingen!E11 / Metingen!G11</f>
        <v>0.501193317422434</v>
      </c>
      <c r="G11" s="1" t="n">
        <f aca="false">F11 * $A$28 * (1 / Metingen!E11 + 1 / Metingen!G11)</f>
        <v>0.000597133380040745</v>
      </c>
      <c r="H11" s="1" t="n">
        <f aca="false">ACOS(SQRT(D11))</f>
        <v>0.790967093174162</v>
      </c>
      <c r="I11" s="1" t="n">
        <f aca="false"> E11 / SIN(2 * H11)</f>
        <v>0.000594480462879434</v>
      </c>
      <c r="J11" s="1" t="n">
        <f aca="false">ACOS(SQRT(F11))</f>
        <v>0.78420484484215</v>
      </c>
      <c r="K11" s="1" t="n">
        <f aca="false">G11 / SIN(2 * J11)</f>
        <v>0.000597135080691605</v>
      </c>
      <c r="L11" s="1" t="n">
        <f aca="false">(H11 - J11) / 2</f>
        <v>0.00338112416600611</v>
      </c>
      <c r="M11" s="1" t="n">
        <f aca="false">I11 + K11</f>
        <v>0.00119161554357104</v>
      </c>
      <c r="N11" s="4" t="n">
        <f aca="false">Metingen!C11/$A$4</f>
        <v>0.655712050078247</v>
      </c>
      <c r="O11" s="4" t="n">
        <f aca="false">$A$16*N11</f>
        <v>0.530400672929424</v>
      </c>
      <c r="P11" s="1" t="n">
        <f aca="false">L11 / (A$19 * N11)</f>
        <v>0.0318733020014099</v>
      </c>
      <c r="Q11" s="12"/>
      <c r="R11" s="12"/>
    </row>
    <row r="12" customFormat="false" ht="15" hidden="false" customHeight="false" outlineLevel="0" collapsed="false">
      <c r="A12" s="9" t="s">
        <v>32</v>
      </c>
      <c r="B12" s="1" t="s">
        <v>33</v>
      </c>
      <c r="C12" s="5" t="n">
        <v>1</v>
      </c>
      <c r="D12" s="1" t="n">
        <f aca="false">Metingen!F12 / Metingen!G12</f>
        <v>0.497215592680987</v>
      </c>
      <c r="E12" s="1" t="n">
        <f aca="false">D12 * $A$28 * ( 1 / Metingen!F12+ 1 / Metingen!G12)</f>
        <v>0.000595551150628874</v>
      </c>
      <c r="F12" s="1" t="n">
        <f aca="false">Metingen!E12 / Metingen!G12</f>
        <v>0.505568814638027</v>
      </c>
      <c r="G12" s="1" t="n">
        <f aca="false">F12 * $A$28 * (1 / Metingen!E12 + 1 / Metingen!G12)</f>
        <v>0.000598873832393806</v>
      </c>
      <c r="H12" s="1" t="n">
        <f aca="false">ACOS(SQRT(D12))</f>
        <v>0.788182585108195</v>
      </c>
      <c r="I12" s="1" t="n">
        <f aca="false"> E12 / SIN(2 * H12)</f>
        <v>0.000595560385369421</v>
      </c>
      <c r="J12" s="1" t="n">
        <f aca="false">ACOS(SQRT(F12))</f>
        <v>0.779829233620735</v>
      </c>
      <c r="K12" s="1" t="n">
        <f aca="false">G12 / SIN(2 * J12)</f>
        <v>0.000598910980036907</v>
      </c>
      <c r="L12" s="1" t="n">
        <f aca="false">(H12 - J12) / 2</f>
        <v>0.00417667574373026</v>
      </c>
      <c r="M12" s="1" t="n">
        <f aca="false">I12 + K12</f>
        <v>0.00119447136540633</v>
      </c>
      <c r="N12" s="1" t="n">
        <f aca="false">Metingen!C12/$A$4</f>
        <v>1.20970266040689</v>
      </c>
      <c r="O12" s="1" t="n">
        <f aca="false">$A$16*N12</f>
        <v>0.97851961855476</v>
      </c>
      <c r="P12" s="1" t="n">
        <f aca="false">L12 / (A$19 * N12)</f>
        <v>0.0213418089148742</v>
      </c>
    </row>
    <row r="13" customFormat="false" ht="15" hidden="false" customHeight="false" outlineLevel="0" collapsed="false">
      <c r="A13" s="7" t="n">
        <v>1</v>
      </c>
      <c r="C13" s="5" t="n">
        <v>2</v>
      </c>
      <c r="D13" s="1" t="n">
        <f aca="false">Metingen!F13 / Metingen!G13</f>
        <v>0.50079554494829</v>
      </c>
      <c r="E13" s="1" t="n">
        <f aca="false">D13 * $A$28 * ( 1 / Metingen!F13+ 1 / Metingen!G13)</f>
        <v>0.000596975157099559</v>
      </c>
      <c r="F13" s="1" t="n">
        <f aca="false">Metingen!E13 / Metingen!G13</f>
        <v>0.509546539379475</v>
      </c>
      <c r="G13" s="1" t="n">
        <f aca="false">F13 * $A$28 * (1 / Metingen!E13 + 1 / Metingen!G13)</f>
        <v>0.000600456061805678</v>
      </c>
      <c r="H13" s="1" t="n">
        <f aca="false">ACOS(SQRT(D13))</f>
        <v>0.784602618113496</v>
      </c>
      <c r="I13" s="1" t="n">
        <f aca="false"> E13 / SIN(2 * H13)</f>
        <v>0.000596975912742315</v>
      </c>
      <c r="J13" s="1" t="n">
        <f aca="false">ACOS(SQRT(F13))</f>
        <v>0.775851043897891</v>
      </c>
      <c r="K13" s="1" t="n">
        <f aca="false">G13 / SIN(2 * J13)</f>
        <v>0.000600565538563169</v>
      </c>
      <c r="L13" s="1" t="n">
        <f aca="false">(H13 - J13) / 2</f>
        <v>0.00437578710780218</v>
      </c>
      <c r="M13" s="1" t="n">
        <f aca="false">I13 + K13</f>
        <v>0.00119754145130548</v>
      </c>
      <c r="N13" s="1" t="n">
        <f aca="false">Metingen!C13/$A$4</f>
        <v>1.20657276995305</v>
      </c>
      <c r="O13" s="1" t="n">
        <f aca="false">$A$16*N13</f>
        <v>0.97598787309925</v>
      </c>
      <c r="P13" s="1" t="n">
        <f aca="false">L13 / (A$19 * N13)</f>
        <v>0.022417220686907</v>
      </c>
    </row>
    <row r="14" customFormat="false" ht="15" hidden="false" customHeight="false" outlineLevel="0" collapsed="false">
      <c r="A14" s="7"/>
      <c r="C14" s="5" t="n">
        <v>3</v>
      </c>
      <c r="D14" s="1" t="n">
        <f aca="false">Metingen!F14 / Metingen!G14</f>
        <v>0.501193317422434</v>
      </c>
      <c r="E14" s="1" t="n">
        <f aca="false">D14 * $A$28 * ( 1 / Metingen!F14+ 1 / Metingen!G14)</f>
        <v>0.000597133380040745</v>
      </c>
      <c r="F14" s="1" t="n">
        <f aca="false">Metingen!E14 / Metingen!G14</f>
        <v>0.510342084327765</v>
      </c>
      <c r="G14" s="1" t="n">
        <f aca="false">F14 * $A$28 * (1 / Metingen!E14 + 1 / Metingen!G14)</f>
        <v>0.000600772507688053</v>
      </c>
      <c r="H14" s="1" t="n">
        <f aca="false">ACOS(SQRT(D14))</f>
        <v>0.78420484484215</v>
      </c>
      <c r="I14" s="1" t="n">
        <f aca="false"> E14 / SIN(2 * H14)</f>
        <v>0.000597135080691605</v>
      </c>
      <c r="J14" s="1" t="n">
        <f aca="false">ACOS(SQRT(F14))</f>
        <v>0.775055341477016</v>
      </c>
      <c r="K14" s="1" t="n">
        <f aca="false">G14 / SIN(2 * J14)</f>
        <v>0.000600901064643122</v>
      </c>
      <c r="L14" s="1" t="n">
        <f aca="false">(H14 - J14) / 2</f>
        <v>0.00457475168256694</v>
      </c>
      <c r="M14" s="1" t="n">
        <f aca="false">I14 + K14</f>
        <v>0.00119803614533473</v>
      </c>
      <c r="N14" s="1" t="n">
        <f aca="false">Metingen!C14/$A$4</f>
        <v>1.20657276995305</v>
      </c>
      <c r="O14" s="1" t="n">
        <f aca="false">$A$16*N14</f>
        <v>0.97598787309925</v>
      </c>
      <c r="P14" s="1" t="n">
        <f aca="false">L14 / (A$19 * N14)</f>
        <v>0.0234365190831717</v>
      </c>
    </row>
    <row r="15" customFormat="false" ht="15" hidden="false" customHeight="false" outlineLevel="0" collapsed="false">
      <c r="A15" s="9" t="s">
        <v>34</v>
      </c>
      <c r="C15" s="5" t="n">
        <v>4</v>
      </c>
      <c r="D15" s="1" t="n">
        <f aca="false">Metingen!F15 / Metingen!G15</f>
        <v>0.493635640413683</v>
      </c>
      <c r="E15" s="1" t="n">
        <f aca="false">D15 * $A$28 * ( 1 / Metingen!F15+ 1 / Metingen!G15)</f>
        <v>0.000594127144158187</v>
      </c>
      <c r="F15" s="1" t="n">
        <f aca="false">Metingen!E15 / Metingen!G15</f>
        <v>0.505171042163882</v>
      </c>
      <c r="G15" s="1" t="n">
        <f aca="false">F15 * $A$28 * (1 / Metingen!E15 + 1 / Metingen!G15)</f>
        <v>0.000598715609452618</v>
      </c>
      <c r="H15" s="1" t="n">
        <f aca="false">ACOS(SQRT(D15))</f>
        <v>0.791762694855529</v>
      </c>
      <c r="I15" s="1" t="n">
        <f aca="false"> E15 / SIN(2 * H15)</f>
        <v>0.000594175280334168</v>
      </c>
      <c r="J15" s="1" t="n">
        <f aca="false">ACOS(SQRT(F15))</f>
        <v>0.780227029047797</v>
      </c>
      <c r="K15" s="1" t="n">
        <f aca="false">G15 / SIN(2 * J15)</f>
        <v>0.00059874763094547</v>
      </c>
      <c r="L15" s="1" t="n">
        <f aca="false">(H15 - J15) / 2</f>
        <v>0.0057678329038659</v>
      </c>
      <c r="M15" s="1" t="n">
        <f aca="false">I15 + K15</f>
        <v>0.00119292291127964</v>
      </c>
      <c r="N15" s="1" t="n">
        <f aca="false">Metingen!C15/$A$4</f>
        <v>1.19874804381847</v>
      </c>
      <c r="O15" s="1" t="n">
        <f aca="false">$A$16*N15</f>
        <v>0.969658509460474</v>
      </c>
      <c r="P15" s="1" t="n">
        <f aca="false">L15 / (A$19 * N15)</f>
        <v>0.0297415680241654</v>
      </c>
    </row>
    <row r="16" customFormat="false" ht="15" hidden="false" customHeight="false" outlineLevel="0" collapsed="false">
      <c r="A16" s="7" t="n">
        <f aca="false">(A19/$A$7)*10^(3)</f>
        <v>0.808892673035565</v>
      </c>
      <c r="B16" s="10"/>
      <c r="C16" s="11" t="n">
        <v>5</v>
      </c>
      <c r="D16" s="1" t="n">
        <f aca="false">Metingen!F16 / Metingen!G16</f>
        <v>0.505568814638027</v>
      </c>
      <c r="E16" s="1" t="n">
        <f aca="false">D16 * $A$28 * ( 1 / Metingen!F16+ 1 / Metingen!G16)</f>
        <v>0.000598873832393806</v>
      </c>
      <c r="F16" s="1" t="n">
        <f aca="false">Metingen!E16 / Metingen!G16</f>
        <v>0.513126491646778</v>
      </c>
      <c r="G16" s="1" t="n">
        <f aca="false">F16 * $A$28 * (1 / Metingen!E16 + 1 / Metingen!G16)</f>
        <v>0.000601880068276364</v>
      </c>
      <c r="H16" s="1" t="n">
        <f aca="false">ACOS(SQRT(D16))</f>
        <v>0.779829233620735</v>
      </c>
      <c r="I16" s="1" t="n">
        <f aca="false"> E16 / SIN(2 * H16)</f>
        <v>0.000598910980036907</v>
      </c>
      <c r="J16" s="1" t="n">
        <f aca="false">ACOS(SQRT(F16))</f>
        <v>0.772270163444628</v>
      </c>
      <c r="K16" s="1" t="n">
        <f aca="false">G16 / SIN(2 * J16)</f>
        <v>0.000602087589182117</v>
      </c>
      <c r="L16" s="1" t="n">
        <f aca="false">(H16 - J16) / 2</f>
        <v>0.00377953508805318</v>
      </c>
      <c r="M16" s="1" t="n">
        <f aca="false">I16 + K16</f>
        <v>0.00120099856921902</v>
      </c>
      <c r="N16" s="4" t="n">
        <f aca="false">Metingen!C16/$A$4</f>
        <v>0.544600938967136</v>
      </c>
      <c r="O16" s="4" t="n">
        <f aca="false">$A$16*N16</f>
        <v>0.440523709258805</v>
      </c>
      <c r="P16" s="1" t="n">
        <f aca="false">L16 / (A$19 * N16)</f>
        <v>0.0428982028505612</v>
      </c>
      <c r="Q16" s="12"/>
      <c r="R16" s="12"/>
    </row>
    <row r="17" customFormat="false" ht="15" hidden="false" customHeight="false" outlineLevel="0" collapsed="false">
      <c r="A17" s="7"/>
      <c r="B17" s="1" t="s">
        <v>35</v>
      </c>
      <c r="C17" s="5" t="n">
        <v>1</v>
      </c>
      <c r="D17" s="1" t="n">
        <f aca="false">Metingen!F17 / Metingen!G17</f>
        <v>0.496420047732697</v>
      </c>
      <c r="E17" s="1" t="n">
        <f aca="false">D17 * $A$28 * ( 1 / Metingen!F17+ 1 / Metingen!G17)</f>
        <v>0.000595234704746499</v>
      </c>
      <c r="F17" s="1" t="n">
        <f aca="false">Metingen!E17 / Metingen!G17</f>
        <v>0.502784407319014</v>
      </c>
      <c r="G17" s="1" t="n">
        <f aca="false">F17 * $A$28 * (1 / Metingen!E17 + 1 / Metingen!G17)</f>
        <v>0.000597766271805495</v>
      </c>
      <c r="H17" s="1" t="n">
        <f aca="false">ACOS(SQRT(D17))</f>
        <v>0.788978146252708</v>
      </c>
      <c r="I17" s="1" t="n">
        <f aca="false"> E17 / SIN(2 * H17)</f>
        <v>0.000595249962458413</v>
      </c>
      <c r="J17" s="1" t="n">
        <f aca="false">ACOS(SQRT(F17))</f>
        <v>0.782613741686702</v>
      </c>
      <c r="K17" s="1" t="n">
        <f aca="false">G17 / SIN(2 * J17)</f>
        <v>0.000597775540894175</v>
      </c>
      <c r="L17" s="1" t="n">
        <f aca="false">(H17 - J17) / 2</f>
        <v>0.00318220228300337</v>
      </c>
      <c r="M17" s="1" t="n">
        <f aca="false">I17 + K17</f>
        <v>0.00119302550335259</v>
      </c>
      <c r="N17" s="1" t="n">
        <f aca="false">Metingen!C17/$A$4</f>
        <v>0.782472613458529</v>
      </c>
      <c r="O17" s="1" t="n">
        <f aca="false">$A$16*N17</f>
        <v>0.632936363877594</v>
      </c>
      <c r="P17" s="1" t="n">
        <f aca="false">L17 / (A$19 * N17)</f>
        <v>0.0251384062017551</v>
      </c>
    </row>
    <row r="18" customFormat="false" ht="15" hidden="false" customHeight="false" outlineLevel="0" collapsed="false">
      <c r="A18" s="9" t="s">
        <v>36</v>
      </c>
      <c r="C18" s="5" t="n">
        <v>2</v>
      </c>
      <c r="D18" s="1" t="n">
        <f aca="false">Metingen!F18 / Metingen!G18</f>
        <v>0.502386634844869</v>
      </c>
      <c r="E18" s="1" t="n">
        <f aca="false">D18 * $A$28 * ( 1 / Metingen!F18+ 1 / Metingen!G18)</f>
        <v>0.000597608048864308</v>
      </c>
      <c r="F18" s="1" t="n">
        <f aca="false">Metingen!E18 / Metingen!G18</f>
        <v>0.509546539379475</v>
      </c>
      <c r="G18" s="1" t="n">
        <f aca="false">F18 * $A$28 * (1 / Metingen!E18 + 1 / Metingen!G18)</f>
        <v>0.000600456061805678</v>
      </c>
      <c r="H18" s="1" t="n">
        <f aca="false">ACOS(SQRT(D18))</f>
        <v>0.783011519489597</v>
      </c>
      <c r="I18" s="1" t="n">
        <f aca="false"> E18 / SIN(2 * H18)</f>
        <v>0.000597614856962473</v>
      </c>
      <c r="J18" s="1" t="n">
        <f aca="false">ACOS(SQRT(F18))</f>
        <v>0.775851043897891</v>
      </c>
      <c r="K18" s="1" t="n">
        <f aca="false">G18 / SIN(2 * J18)</f>
        <v>0.000600565538563169</v>
      </c>
      <c r="L18" s="1" t="n">
        <f aca="false">(H18 - J18) / 2</f>
        <v>0.00358023779585298</v>
      </c>
      <c r="M18" s="1" t="n">
        <f aca="false">I18 + K18</f>
        <v>0.00119818039552564</v>
      </c>
      <c r="N18" s="1" t="n">
        <f aca="false">Metingen!C18/$A$4</f>
        <v>0.784037558685446</v>
      </c>
      <c r="O18" s="1" t="n">
        <f aca="false">$A$16*N18</f>
        <v>0.634202236605349</v>
      </c>
      <c r="P18" s="1" t="n">
        <f aca="false">L18 / (A$19 * N18)</f>
        <v>0.028226310072767</v>
      </c>
    </row>
    <row r="19" customFormat="false" ht="15" hidden="false" customHeight="false" outlineLevel="0" collapsed="false">
      <c r="A19" s="7" t="n">
        <v>0.161778534607113</v>
      </c>
      <c r="C19" s="5" t="n">
        <v>3</v>
      </c>
      <c r="D19" s="1" t="n">
        <f aca="false">Metingen!F19 / Metingen!G19</f>
        <v>0.502386634844869</v>
      </c>
      <c r="E19" s="1" t="n">
        <f aca="false">D19 * $A$28 * ( 1 / Metingen!F19+ 1 / Metingen!G19)</f>
        <v>0.000597608048864308</v>
      </c>
      <c r="F19" s="1" t="n">
        <f aca="false">Metingen!E19 / Metingen!G19</f>
        <v>0.50994431185362</v>
      </c>
      <c r="G19" s="1" t="n">
        <f aca="false">F19 * $A$28 * (1 / Metingen!E19 + 1 / Metingen!G19)</f>
        <v>0.000600614284746866</v>
      </c>
      <c r="H19" s="1" t="n">
        <f aca="false">ACOS(SQRT(D19))</f>
        <v>0.783011519489597</v>
      </c>
      <c r="I19" s="1" t="n">
        <f aca="false"> E19 / SIN(2 * H19)</f>
        <v>0.000597614856962473</v>
      </c>
      <c r="J19" s="1" t="n">
        <f aca="false">ACOS(SQRT(F19))</f>
        <v>0.77545319583616</v>
      </c>
      <c r="K19" s="1" t="n">
        <f aca="false">G19 / SIN(2 * J19)</f>
        <v>0.000600733108697608</v>
      </c>
      <c r="L19" s="1" t="n">
        <f aca="false">(H19 - J19) / 2</f>
        <v>0.00377916182671884</v>
      </c>
      <c r="M19" s="1" t="n">
        <f aca="false">I19 + K19</f>
        <v>0.00119834796566008</v>
      </c>
      <c r="N19" s="1" t="n">
        <f aca="false">Metingen!C19/$A$4</f>
        <v>0.782472613458529</v>
      </c>
      <c r="O19" s="1" t="n">
        <f aca="false">$A$16*N19</f>
        <v>0.632936363877594</v>
      </c>
      <c r="P19" s="1" t="n">
        <f aca="false">L19 / (A$19 * N19)</f>
        <v>0.029854200535788</v>
      </c>
    </row>
    <row r="20" customFormat="false" ht="15" hidden="false" customHeight="false" outlineLevel="0" collapsed="false">
      <c r="A20" s="7"/>
      <c r="C20" s="5" t="n">
        <v>4</v>
      </c>
      <c r="D20" s="1" t="n">
        <f aca="false">Metingen!F20 / Metingen!G20</f>
        <v>0.503977724741448</v>
      </c>
      <c r="E20" s="1" t="n">
        <f aca="false">D20 * $A$28 * ( 1 / Metingen!F20+ 1 / Metingen!G20)</f>
        <v>0.000598240940629057</v>
      </c>
      <c r="F20" s="1" t="n">
        <f aca="false">Metingen!E20 / Metingen!G20</f>
        <v>0.511535401750199</v>
      </c>
      <c r="G20" s="1" t="n">
        <f aca="false">F20 * $A$28 * (1 / Metingen!E20 + 1 / Metingen!G20)</f>
        <v>0.000601247176511615</v>
      </c>
      <c r="H20" s="1" t="n">
        <f aca="false">ACOS(SQRT(D20))</f>
        <v>0.781420396696985</v>
      </c>
      <c r="I20" s="1" t="n">
        <f aca="false"> E20 / SIN(2 * H20)</f>
        <v>0.000598259872615937</v>
      </c>
      <c r="J20" s="1" t="n">
        <f aca="false">ACOS(SQRT(F20))</f>
        <v>0.773861738092786</v>
      </c>
      <c r="K20" s="1" t="n">
        <f aca="false">G20 / SIN(2 * J20)</f>
        <v>0.000601407250920153</v>
      </c>
      <c r="L20" s="1" t="n">
        <f aca="false">(H20 - J20) / 2</f>
        <v>0.00377932930209945</v>
      </c>
      <c r="M20" s="1" t="n">
        <f aca="false">I20 + K20</f>
        <v>0.00119966712353609</v>
      </c>
      <c r="N20" s="1" t="n">
        <f aca="false">Metingen!C20/$A$4</f>
        <v>0.782472613458529</v>
      </c>
      <c r="O20" s="1" t="n">
        <f aca="false">$A$16*N20</f>
        <v>0.632936363877594</v>
      </c>
      <c r="P20" s="1" t="n">
        <f aca="false">L20 / (A$19 * N20)</f>
        <v>0.0298555235390959</v>
      </c>
    </row>
    <row r="21" customFormat="false" ht="15" hidden="false" customHeight="false" outlineLevel="0" collapsed="false">
      <c r="A21" s="13" t="s">
        <v>37</v>
      </c>
      <c r="B21" s="10"/>
      <c r="C21" s="11" t="n">
        <v>5</v>
      </c>
      <c r="D21" s="1" t="n">
        <f aca="false">Metingen!F21 / Metingen!G21</f>
        <v>0.503977724741448</v>
      </c>
      <c r="E21" s="1" t="n">
        <f aca="false">D21 * $A$28 * ( 1 / Metingen!F21+ 1 / Metingen!G21)</f>
        <v>0.000598240940629057</v>
      </c>
      <c r="F21" s="1" t="n">
        <f aca="false">Metingen!E21 / Metingen!G21</f>
        <v>0.50914876690533</v>
      </c>
      <c r="G21" s="1" t="n">
        <f aca="false">F21 * $A$28 * (1 / Metingen!E21 + 1 / Metingen!G21)</f>
        <v>0.000600297838864491</v>
      </c>
      <c r="H21" s="1" t="n">
        <f aca="false">ACOS(SQRT(D21))</f>
        <v>0.781420396696985</v>
      </c>
      <c r="I21" s="1" t="n">
        <f aca="false"> E21 / SIN(2 * H21)</f>
        <v>0.000598259872615937</v>
      </c>
      <c r="J21" s="1" t="n">
        <f aca="false">ACOS(SQRT(F21))</f>
        <v>0.776248885914389</v>
      </c>
      <c r="K21" s="1" t="n">
        <f aca="false">G21 / SIN(2 * J21)</f>
        <v>0.000600398353885751</v>
      </c>
      <c r="L21" s="1" t="n">
        <f aca="false">(H21 - J21) / 2</f>
        <v>0.00258575539129818</v>
      </c>
      <c r="M21" s="1" t="n">
        <f aca="false">I21 + K21</f>
        <v>0.00119865822650169</v>
      </c>
      <c r="N21" s="4" t="n">
        <f aca="false">Metingen!C21/$A$4</f>
        <v>0.408450704225352</v>
      </c>
      <c r="O21" s="4" t="n">
        <f aca="false">$A$16*N21</f>
        <v>0.330392781944104</v>
      </c>
      <c r="P21" s="1" t="n">
        <f aca="false">L21 / (A$19 * N21)</f>
        <v>0.0391315357448645</v>
      </c>
      <c r="Q21" s="12"/>
      <c r="R21" s="12"/>
    </row>
    <row r="22" customFormat="false" ht="15" hidden="false" customHeight="false" outlineLevel="0" collapsed="false">
      <c r="A22" s="7" t="n">
        <f aca="false">$A$19*(10^(-3))</f>
        <v>0.000161778534607113</v>
      </c>
      <c r="B22" s="8" t="s">
        <v>38</v>
      </c>
      <c r="C22" s="5" t="n">
        <v>1</v>
      </c>
      <c r="D22" s="1" t="n">
        <f aca="false">Metingen!F22 / Metingen!G22</f>
        <v>0.495226730310263</v>
      </c>
      <c r="E22" s="1" t="n">
        <f aca="false">D22 * $A$28 * ( 1 / Metingen!F22+ 1 / Metingen!G22)</f>
        <v>0.000594760035922937</v>
      </c>
      <c r="F22" s="1" t="n">
        <f aca="false">Metingen!E22 / Metingen!G22</f>
        <v>0.5</v>
      </c>
      <c r="G22" s="1" t="n">
        <f aca="false">F22 * $A$28 * (1 / Metingen!E22 + 1 / Metingen!G22)</f>
        <v>0.000596658711217184</v>
      </c>
      <c r="H22" s="1" t="n">
        <f aca="false">ACOS(SQRT(D22))</f>
        <v>0.790171505593273</v>
      </c>
      <c r="I22" s="1" t="n">
        <f aca="false"> E22 / SIN(2 * H22)</f>
        <v>0.000594787139924041</v>
      </c>
      <c r="J22" s="1" t="n">
        <f aca="false">ACOS(SQRT(F22))</f>
        <v>0.785398163397448</v>
      </c>
      <c r="K22" s="1" t="n">
        <f aca="false">G22 / SIN(2 * J22)</f>
        <v>0.000596658711217184</v>
      </c>
      <c r="L22" s="1" t="n">
        <f aca="false">(H22 - J22) / 2</f>
        <v>0.00238667109791241</v>
      </c>
      <c r="M22" s="1" t="n">
        <f aca="false">I22 + K22</f>
        <v>0.00119144585114123</v>
      </c>
      <c r="N22" s="1" t="n">
        <f aca="false">Metingen!C22/$A$4</f>
        <v>0.477308294209703</v>
      </c>
      <c r="O22" s="1" t="n">
        <f aca="false">$A$16*N22</f>
        <v>0.386091181965332</v>
      </c>
      <c r="P22" s="1" t="n">
        <f aca="false">L22 / (A$19 * N22)</f>
        <v>0.0309081275278479</v>
      </c>
    </row>
    <row r="23" customFormat="false" ht="15" hidden="false" customHeight="false" outlineLevel="0" collapsed="false">
      <c r="A23" s="7"/>
      <c r="C23" s="5" t="n">
        <v>2</v>
      </c>
      <c r="D23" s="1" t="n">
        <f aca="false">Metingen!F23 / Metingen!G23</f>
        <v>0.498408910103421</v>
      </c>
      <c r="E23" s="1" t="n">
        <f aca="false">D23 * $A$28 * ( 1 / Metingen!F23+ 1 / Metingen!G23)</f>
        <v>0.000596025819452435</v>
      </c>
      <c r="F23" s="1" t="n">
        <f aca="false">Metingen!E23 / Metingen!G23</f>
        <v>0.503579952267303</v>
      </c>
      <c r="G23" s="1" t="n">
        <f aca="false">F23 * $A$28 * (1 / Metingen!E23 + 1 / Metingen!G23)</f>
        <v>0.000598082717687869</v>
      </c>
      <c r="H23" s="1" t="n">
        <f aca="false">ACOS(SQRT(D23))</f>
        <v>0.78698925597934</v>
      </c>
      <c r="I23" s="1" t="n">
        <f aca="false"> E23 / SIN(2 * H23)</f>
        <v>0.000596028837234016</v>
      </c>
      <c r="J23" s="1" t="n">
        <f aca="false">ACOS(SQRT(F23))</f>
        <v>0.781818180542188</v>
      </c>
      <c r="K23" s="1" t="n">
        <f aca="false">G23 / SIN(2 * J23)</f>
        <v>0.00059809804840319</v>
      </c>
      <c r="L23" s="1" t="n">
        <f aca="false">(H23 - J23) / 2</f>
        <v>0.00258553771857589</v>
      </c>
      <c r="M23" s="1" t="n">
        <f aca="false">I23 + K23</f>
        <v>0.00119412688563721</v>
      </c>
      <c r="N23" s="1" t="n">
        <f aca="false">Metingen!C23/$A$4</f>
        <v>0.474178403755869</v>
      </c>
      <c r="O23" s="1" t="n">
        <f aca="false">$A$16*N23</f>
        <v>0.383559436509822</v>
      </c>
      <c r="P23" s="1" t="n">
        <f aca="false">L23 / (A$19 * N23)</f>
        <v>0.033704524937554</v>
      </c>
    </row>
    <row r="24" customFormat="false" ht="15" hidden="false" customHeight="false" outlineLevel="0" collapsed="false">
      <c r="A24" s="7" t="s">
        <v>39</v>
      </c>
      <c r="C24" s="5" t="n">
        <v>3</v>
      </c>
      <c r="D24" s="1" t="n">
        <f aca="false">Metingen!F24 / Metingen!G24</f>
        <v>0.505171042163882</v>
      </c>
      <c r="E24" s="1" t="n">
        <f aca="false">D24 * $A$28 * ( 1 / Metingen!F24+ 1 / Metingen!G24)</f>
        <v>0.000598715609452618</v>
      </c>
      <c r="F24" s="1" t="n">
        <f aca="false">Metingen!E24 / Metingen!G24</f>
        <v>0.509546539379475</v>
      </c>
      <c r="G24" s="1" t="n">
        <f aca="false">F24 * $A$28 * (1 / Metingen!E24 + 1 / Metingen!G24)</f>
        <v>0.000600456061805678</v>
      </c>
      <c r="H24" s="1" t="n">
        <f aca="false">ACOS(SQRT(D24))</f>
        <v>0.780227029047797</v>
      </c>
      <c r="I24" s="1" t="n">
        <f aca="false"> E24 / SIN(2 * H24)</f>
        <v>0.00059874763094547</v>
      </c>
      <c r="J24" s="1" t="n">
        <f aca="false">ACOS(SQRT(F24))</f>
        <v>0.775851043897891</v>
      </c>
      <c r="K24" s="1" t="n">
        <f aca="false">G24 / SIN(2 * J24)</f>
        <v>0.000600565538563169</v>
      </c>
      <c r="L24" s="1" t="n">
        <f aca="false">(H24 - J24) / 2</f>
        <v>0.00218799257495295</v>
      </c>
      <c r="M24" s="1" t="n">
        <f aca="false">I24 + K24</f>
        <v>0.00119931316950864</v>
      </c>
      <c r="N24" s="1" t="n">
        <f aca="false">Metingen!C24/$A$4</f>
        <v>0.469483568075117</v>
      </c>
      <c r="O24" s="1" t="n">
        <f aca="false">$A$16*N24</f>
        <v>0.379761818326556</v>
      </c>
      <c r="P24" s="1" t="n">
        <f aca="false">L24 / (A$19 * N24)</f>
        <v>0.0288074323084199</v>
      </c>
    </row>
    <row r="25" customFormat="false" ht="15" hidden="false" customHeight="false" outlineLevel="0" collapsed="false">
      <c r="A25" s="7" t="n">
        <v>635</v>
      </c>
      <c r="C25" s="5" t="n">
        <v>4</v>
      </c>
      <c r="D25" s="1" t="n">
        <f aca="false">Metingen!F25 / Metingen!G25</f>
        <v>0.501193317422434</v>
      </c>
      <c r="E25" s="1" t="n">
        <f aca="false">D25 * $A$28 * ( 1 / Metingen!F25+ 1 / Metingen!G25)</f>
        <v>0.000597133380040745</v>
      </c>
      <c r="F25" s="1" t="n">
        <f aca="false">Metingen!E25 / Metingen!G25</f>
        <v>0.505966587112172</v>
      </c>
      <c r="G25" s="1" t="n">
        <f aca="false">F25 * $A$28 * (1 / Metingen!E25 + 1 / Metingen!G25)</f>
        <v>0.000599032055334993</v>
      </c>
      <c r="H25" s="1" t="n">
        <f aca="false">ACOS(SQRT(D25))</f>
        <v>0.78420484484215</v>
      </c>
      <c r="I25" s="1" t="n">
        <f aca="false"> E25 / SIN(2 * H25)</f>
        <v>0.000597135080691605</v>
      </c>
      <c r="J25" s="1" t="n">
        <f aca="false">ACOS(SQRT(F25))</f>
        <v>0.779431434668557</v>
      </c>
      <c r="K25" s="1" t="n">
        <f aca="false">G25 / SIN(2 * J25)</f>
        <v>0.000599074711166858</v>
      </c>
      <c r="L25" s="1" t="n">
        <f aca="false">(H25 - J25) / 2</f>
        <v>0.00238670508679634</v>
      </c>
      <c r="M25" s="1" t="n">
        <f aca="false">I25 + K25</f>
        <v>0.00119620979185846</v>
      </c>
      <c r="N25" s="1" t="n">
        <f aca="false">Metingen!C25/$A$4</f>
        <v>0.469483568075117</v>
      </c>
      <c r="O25" s="1" t="n">
        <f aca="false">$A$16*N25</f>
        <v>0.379761818326556</v>
      </c>
      <c r="P25" s="1" t="n">
        <f aca="false">L25 / (A$19 * N25)</f>
        <v>0.0314237104892943</v>
      </c>
    </row>
    <row r="26" customFormat="false" ht="15" hidden="false" customHeight="false" outlineLevel="0" collapsed="false">
      <c r="A26" s="7"/>
      <c r="C26" s="5" t="n">
        <v>5</v>
      </c>
      <c r="D26" s="1" t="n">
        <f aca="false">Metingen!F26 / Metingen!G26</f>
        <v>0.494828957836118</v>
      </c>
      <c r="E26" s="1" t="n">
        <f aca="false">D26 * $A$28 * ( 1 / Metingen!F26+ 1 / Metingen!G26)</f>
        <v>0.00059460181298175</v>
      </c>
      <c r="F26" s="1" t="n">
        <f aca="false">Metingen!E26 / Metingen!G26</f>
        <v>0.49920445505171</v>
      </c>
      <c r="G26" s="1" t="n">
        <f aca="false">F26 * $A$28 * (1 / Metingen!E26 + 1 / Metingen!G26)</f>
        <v>0.000596342265334809</v>
      </c>
      <c r="H26" s="1" t="n">
        <f aca="false">ACOS(SQRT(D26))</f>
        <v>0.790569297747099</v>
      </c>
      <c r="I26" s="1" t="n">
        <f aca="false"> E26 / SIN(2 * H26)</f>
        <v>0.000594633614453773</v>
      </c>
      <c r="J26" s="1" t="n">
        <f aca="false">ACOS(SQRT(F26))</f>
        <v>0.786193708681401</v>
      </c>
      <c r="K26" s="1" t="n">
        <f aca="false">G26 / SIN(2 * J26)</f>
        <v>0.000596343020176459</v>
      </c>
      <c r="L26" s="1" t="n">
        <f aca="false">(H26 - J26) / 2</f>
        <v>0.00218779453284917</v>
      </c>
      <c r="M26" s="1" t="n">
        <f aca="false">I26 + K26</f>
        <v>0.00119097663463023</v>
      </c>
      <c r="N26" s="1" t="n">
        <f aca="false">Metingen!C26/$A$4</f>
        <v>0.312989045383412</v>
      </c>
      <c r="O26" s="1" t="n">
        <f aca="false">$A$16*N26</f>
        <v>0.253174545551038</v>
      </c>
      <c r="P26" s="1" t="n">
        <f aca="false">L26 / (A$19 * N26)</f>
        <v>0.0432072372853956</v>
      </c>
    </row>
    <row r="27" customFormat="false" ht="15" hidden="false" customHeight="false" outlineLevel="0" collapsed="false">
      <c r="A27" s="14" t="s">
        <v>47</v>
      </c>
      <c r="C27" s="1"/>
      <c r="V27" s="15"/>
    </row>
    <row r="28" customFormat="false" ht="15" hidden="false" customHeight="false" outlineLevel="0" collapsed="false">
      <c r="A28" s="14" t="n">
        <v>0.001</v>
      </c>
      <c r="C28" s="1"/>
      <c r="V28" s="15"/>
    </row>
    <row r="29" customFormat="false" ht="15" hidden="false" customHeight="false" outlineLevel="0" collapsed="false">
      <c r="A29" s="14"/>
      <c r="C29" s="1"/>
      <c r="V29" s="15"/>
    </row>
    <row r="30" customFormat="false" ht="15" hidden="false" customHeight="false" outlineLevel="0" collapsed="false">
      <c r="A30" s="14"/>
      <c r="C30" s="1"/>
      <c r="V30" s="15"/>
    </row>
    <row r="31" customFormat="false" ht="15" hidden="false" customHeight="false" outlineLevel="0" collapsed="false">
      <c r="A31" s="14"/>
      <c r="C31" s="1"/>
      <c r="V31" s="15"/>
    </row>
    <row r="32" customFormat="false" ht="15" hidden="false" customHeight="false" outlineLevel="0" collapsed="false">
      <c r="A32" s="14"/>
      <c r="C32" s="1"/>
    </row>
    <row r="33" customFormat="false" ht="15" hidden="false" customHeight="false" outlineLevel="0" collapsed="false">
      <c r="A33" s="16"/>
      <c r="C33" s="1"/>
    </row>
    <row r="34" customFormat="false" ht="15" hidden="false" customHeight="false" outlineLevel="0" collapsed="false">
      <c r="A34" s="16"/>
      <c r="C34" s="1"/>
    </row>
    <row r="35" customFormat="false" ht="15" hidden="false" customHeight="false" outlineLevel="0" collapsed="false">
      <c r="A35" s="16"/>
    </row>
    <row r="36" customFormat="false" ht="15" hidden="false" customHeight="false" outlineLevel="0" collapsed="false">
      <c r="A36" s="16"/>
    </row>
    <row r="37" customFormat="false" ht="15" hidden="false" customHeight="false" outlineLevel="0" collapsed="false">
      <c r="A37" s="16"/>
    </row>
    <row r="38" customFormat="false" ht="15" hidden="false" customHeight="false" outlineLevel="0" collapsed="false">
      <c r="A38" s="16"/>
    </row>
    <row r="39" customFormat="false" ht="15" hidden="false" customHeight="false" outlineLevel="0" collapsed="false">
      <c r="A39" s="16"/>
    </row>
    <row r="40" customFormat="false" ht="15" hidden="false" customHeight="false" outlineLevel="0" collapsed="false">
      <c r="A40" s="16"/>
    </row>
    <row r="41" customFormat="false" ht="15" hidden="false" customHeight="false" outlineLevel="0" collapsed="false">
      <c r="A41" s="16"/>
    </row>
    <row r="42" customFormat="false" ht="15" hidden="false" customHeight="false" outlineLevel="0" collapsed="false">
      <c r="A42" s="16"/>
    </row>
    <row r="43" customFormat="false" ht="15" hidden="false" customHeight="false" outlineLevel="0" collapsed="false">
      <c r="A43" s="16"/>
    </row>
    <row r="44" customFormat="false" ht="15" hidden="false" customHeight="false" outlineLevel="0" collapsed="false">
      <c r="A44" s="16"/>
    </row>
    <row r="45" customFormat="false" ht="15" hidden="false" customHeight="false" outlineLevel="0" collapsed="false">
      <c r="A45" s="16"/>
    </row>
    <row r="46" customFormat="false" ht="15" hidden="false" customHeight="false" outlineLevel="0" collapsed="false">
      <c r="A46" s="16"/>
    </row>
    <row r="47" customFormat="false" ht="15" hidden="false" customHeight="false" outlineLevel="0" collapsed="false">
      <c r="A47" s="16"/>
    </row>
    <row r="48" customFormat="false" ht="15" hidden="false" customHeight="false" outlineLevel="0" collapsed="false">
      <c r="A48" s="16"/>
    </row>
    <row r="49" customFormat="false" ht="15" hidden="false" customHeight="false" outlineLevel="0" collapsed="false">
      <c r="A49" s="16"/>
    </row>
    <row r="50" customFormat="false" ht="15" hidden="false" customHeight="false" outlineLevel="0" collapsed="false">
      <c r="A50" s="16"/>
    </row>
    <row r="51" customFormat="false" ht="15" hidden="false" customHeight="false" outlineLevel="0" collapsed="false">
      <c r="A51" s="16"/>
    </row>
    <row r="52" customFormat="false" ht="15" hidden="false" customHeight="false" outlineLevel="0" collapsed="false">
      <c r="A52" s="16"/>
    </row>
    <row r="53" customFormat="false" ht="15" hidden="false" customHeight="false" outlineLevel="0" collapsed="false">
      <c r="A53" s="16"/>
    </row>
    <row r="54" customFormat="false" ht="15" hidden="false" customHeight="false" outlineLevel="0" collapsed="false">
      <c r="A54" s="16"/>
    </row>
    <row r="55" customFormat="false" ht="15" hidden="false" customHeight="false" outlineLevel="0" collapsed="false">
      <c r="A55" s="16"/>
    </row>
    <row r="56" customFormat="false" ht="15" hidden="false" customHeight="false" outlineLevel="0" collapsed="false">
      <c r="A56" s="16"/>
    </row>
    <row r="57" customFormat="false" ht="15" hidden="false" customHeight="false" outlineLevel="0" collapsed="false">
      <c r="A57" s="16"/>
    </row>
    <row r="58" customFormat="false" ht="15" hidden="false" customHeight="false" outlineLevel="0" collapsed="false">
      <c r="A58" s="16"/>
    </row>
    <row r="59" customFormat="false" ht="15" hidden="false" customHeight="false" outlineLevel="0" collapsed="false">
      <c r="A59" s="16"/>
    </row>
    <row r="60" customFormat="false" ht="15" hidden="false" customHeight="false" outlineLevel="0" collapsed="false">
      <c r="A60" s="16"/>
    </row>
    <row r="61" customFormat="false" ht="15" hidden="false" customHeight="false" outlineLevel="0" collapsed="false">
      <c r="A61" s="16"/>
    </row>
    <row r="62" customFormat="false" ht="15" hidden="false" customHeight="false" outlineLevel="0" collapsed="false">
      <c r="A62" s="16"/>
    </row>
    <row r="63" customFormat="false" ht="15" hidden="false" customHeight="false" outlineLevel="0" collapsed="false">
      <c r="A63" s="16"/>
    </row>
    <row r="64" customFormat="false" ht="15" hidden="false" customHeight="false" outlineLevel="0" collapsed="false">
      <c r="A64" s="16"/>
    </row>
    <row r="65" customFormat="false" ht="15" hidden="false" customHeight="false" outlineLevel="0" collapsed="false">
      <c r="A65" s="16"/>
    </row>
    <row r="66" customFormat="false" ht="15" hidden="false" customHeight="false" outlineLevel="0" collapsed="false">
      <c r="A66" s="16"/>
    </row>
    <row r="67" customFormat="false" ht="15" hidden="false" customHeight="false" outlineLevel="0" collapsed="false">
      <c r="A67" s="16"/>
    </row>
    <row r="68" customFormat="false" ht="15" hidden="false" customHeight="false" outlineLevel="0" collapsed="false">
      <c r="A68" s="16"/>
    </row>
    <row r="69" customFormat="false" ht="15" hidden="false" customHeight="false" outlineLevel="0" collapsed="false">
      <c r="A69" s="16"/>
    </row>
    <row r="70" customFormat="false" ht="15" hidden="false" customHeight="false" outlineLevel="0" collapsed="false">
      <c r="A70" s="16"/>
    </row>
    <row r="71" customFormat="false" ht="15" hidden="false" customHeight="false" outlineLevel="0" collapsed="false">
      <c r="A71" s="16"/>
    </row>
    <row r="72" customFormat="false" ht="15" hidden="false" customHeight="false" outlineLevel="0" collapsed="false">
      <c r="A72" s="16"/>
    </row>
    <row r="73" customFormat="false" ht="15" hidden="false" customHeight="false" outlineLevel="0" collapsed="false">
      <c r="A73" s="16"/>
    </row>
    <row r="74" customFormat="false" ht="15" hidden="false" customHeight="false" outlineLevel="0" collapsed="false">
      <c r="A74" s="16"/>
    </row>
    <row r="75" customFormat="false" ht="15" hidden="false" customHeight="false" outlineLevel="0" collapsed="false">
      <c r="A75" s="16"/>
    </row>
    <row r="76" customFormat="false" ht="15" hidden="false" customHeight="false" outlineLevel="0" collapsed="false">
      <c r="A76" s="16"/>
    </row>
    <row r="77" customFormat="false" ht="15" hidden="false" customHeight="false" outlineLevel="0" collapsed="false">
      <c r="A77" s="16"/>
    </row>
    <row r="78" customFormat="false" ht="15" hidden="false" customHeight="false" outlineLevel="0" collapsed="false">
      <c r="A78" s="16"/>
    </row>
    <row r="79" customFormat="false" ht="15" hidden="false" customHeight="false" outlineLevel="0" collapsed="false">
      <c r="A79" s="16"/>
    </row>
    <row r="80" customFormat="false" ht="15" hidden="false" customHeight="false" outlineLevel="0" collapsed="false">
      <c r="A80" s="16"/>
    </row>
    <row r="81" customFormat="false" ht="15" hidden="false" customHeight="false" outlineLevel="0" collapsed="false">
      <c r="A81" s="16"/>
    </row>
    <row r="82" customFormat="false" ht="15" hidden="false" customHeight="false" outlineLevel="0" collapsed="false">
      <c r="A82" s="16"/>
    </row>
    <row r="83" customFormat="false" ht="15" hidden="false" customHeight="false" outlineLevel="0" collapsed="false">
      <c r="A83" s="16"/>
    </row>
    <row r="84" customFormat="false" ht="15" hidden="false" customHeight="false" outlineLevel="0" collapsed="false">
      <c r="A84" s="16"/>
    </row>
    <row r="85" customFormat="false" ht="15" hidden="false" customHeight="false" outlineLevel="0" collapsed="false">
      <c r="A85" s="16"/>
    </row>
    <row r="86" customFormat="false" ht="15" hidden="false" customHeight="false" outlineLevel="0" collapsed="false">
      <c r="A86" s="16"/>
    </row>
    <row r="87" customFormat="false" ht="15" hidden="false" customHeight="false" outlineLevel="0" collapsed="false">
      <c r="A87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2026-03-16T22:23:51Z</dcterms:created>
  <dc:creator>openpyxl</dc:creator>
  <dc:description/>
  <dc:language>en-US</dc:language>
  <cp:lastModifiedBy/>
  <dcterms:modified xsi:type="dcterms:W3CDTF">2026-03-25T20:27:06Z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