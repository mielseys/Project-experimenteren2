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tristancools/Documents/Arduino/Project-experimenteren2/Data/"/>
    </mc:Choice>
  </mc:AlternateContent>
  <xr:revisionPtr revIDLastSave="0" documentId="8_{B0C430F3-B25A-804D-81B1-C60D6C07B538}" xr6:coauthVersionLast="47" xr6:coauthVersionMax="47" xr10:uidLastSave="{00000000-0000-0000-0000-000000000000}"/>
  <bookViews>
    <workbookView xWindow="0" yWindow="0" windowWidth="33600" windowHeight="21000" activeTab="2" xr2:uid="{00000000-000D-0000-FFFF-FFFF00000000}"/>
  </bookViews>
  <sheets>
    <sheet name="Kalibratie" sheetId="1" r:id="rId1"/>
    <sheet name="Metingen" sheetId="3" r:id="rId2"/>
    <sheet name="Verwerking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" i="2"/>
  <c r="A16" i="2"/>
  <c r="A2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" i="2"/>
  <c r="D2" i="2"/>
  <c r="E2" i="2" s="1"/>
  <c r="E4" i="2"/>
  <c r="E12" i="2"/>
  <c r="G12" i="2" s="1"/>
  <c r="D3" i="2"/>
  <c r="E3" i="2" s="1"/>
  <c r="D4" i="2"/>
  <c r="D5" i="2"/>
  <c r="E5" i="2" s="1"/>
  <c r="D6" i="2"/>
  <c r="E6" i="2" s="1"/>
  <c r="D7" i="2"/>
  <c r="E7" i="2" s="1"/>
  <c r="D8" i="2"/>
  <c r="E8" i="2" s="1"/>
  <c r="D9" i="2"/>
  <c r="E9" i="2" s="1"/>
  <c r="D10" i="2"/>
  <c r="E10" i="2" s="1"/>
  <c r="D11" i="2"/>
  <c r="E11" i="2" s="1"/>
  <c r="D12" i="2"/>
  <c r="D13" i="2"/>
  <c r="E13" i="2" s="1"/>
  <c r="D14" i="2"/>
  <c r="E14" i="2" s="1"/>
  <c r="D15" i="2"/>
  <c r="E15" i="2" s="1"/>
  <c r="D16" i="2"/>
  <c r="E16" i="2" s="1"/>
  <c r="D17" i="2"/>
  <c r="E17" i="2" s="1"/>
  <c r="D18" i="2"/>
  <c r="E18" i="2" s="1"/>
  <c r="D19" i="2"/>
  <c r="E19" i="2" s="1"/>
  <c r="D20" i="2"/>
  <c r="D21" i="2"/>
  <c r="E21" i="2" s="1"/>
  <c r="D22" i="2"/>
  <c r="E22" i="2" s="1"/>
  <c r="D23" i="2"/>
  <c r="E23" i="2" s="1"/>
  <c r="D24" i="2"/>
  <c r="E24" i="2" s="1"/>
  <c r="D25" i="2"/>
  <c r="E25" i="2" s="1"/>
  <c r="D26" i="2"/>
  <c r="E26" i="2" s="1"/>
  <c r="J9" i="2" l="1"/>
  <c r="K9" i="2" s="1"/>
  <c r="J8" i="2"/>
  <c r="K8" i="2" s="1"/>
  <c r="J16" i="2"/>
  <c r="K16" i="2" s="1"/>
  <c r="J14" i="2"/>
  <c r="K14" i="2" s="1"/>
  <c r="J10" i="2"/>
  <c r="K10" i="2" s="1"/>
  <c r="J24" i="2"/>
  <c r="K24" i="2" s="1"/>
  <c r="J26" i="2"/>
  <c r="K26" i="2" s="1"/>
  <c r="L26" i="2" s="1"/>
  <c r="M26" i="2" s="1"/>
  <c r="J15" i="2"/>
  <c r="K15" i="2" s="1"/>
  <c r="L15" i="2" s="1"/>
  <c r="M15" i="2" s="1"/>
  <c r="J2" i="2"/>
  <c r="K2" i="2" s="1"/>
  <c r="J23" i="2"/>
  <c r="K23" i="2" s="1"/>
  <c r="J12" i="2"/>
  <c r="K12" i="2" s="1"/>
  <c r="L12" i="2" s="1"/>
  <c r="M12" i="2" s="1"/>
  <c r="J11" i="2"/>
  <c r="K11" i="2" s="1"/>
  <c r="L11" i="2" s="1"/>
  <c r="M11" i="2" s="1"/>
  <c r="J7" i="2"/>
  <c r="K7" i="2" s="1"/>
  <c r="J19" i="2"/>
  <c r="K19" i="2" s="1"/>
  <c r="J6" i="2"/>
  <c r="K6" i="2" s="1"/>
  <c r="J3" i="2"/>
  <c r="K3" i="2" s="1"/>
  <c r="L3" i="2" s="1"/>
  <c r="M3" i="2" s="1"/>
  <c r="J22" i="2"/>
  <c r="K22" i="2" s="1"/>
  <c r="L22" i="2" s="1"/>
  <c r="M22" i="2" s="1"/>
  <c r="J20" i="2"/>
  <c r="K20" i="2" s="1"/>
  <c r="J18" i="2"/>
  <c r="K18" i="2" s="1"/>
  <c r="J4" i="2"/>
  <c r="K4" i="2" s="1"/>
  <c r="L4" i="2" s="1"/>
  <c r="M4" i="2" s="1"/>
  <c r="J21" i="2"/>
  <c r="K21" i="2" s="1"/>
  <c r="J13" i="2"/>
  <c r="K13" i="2" s="1"/>
  <c r="J5" i="2"/>
  <c r="K5" i="2" s="1"/>
  <c r="L5" i="2" s="1"/>
  <c r="M5" i="2" s="1"/>
  <c r="J25" i="2"/>
  <c r="K25" i="2" s="1"/>
  <c r="L25" i="2" s="1"/>
  <c r="M25" i="2" s="1"/>
  <c r="J17" i="2"/>
  <c r="K17" i="2" s="1"/>
  <c r="L17" i="2" s="1"/>
  <c r="M17" i="2" s="1"/>
  <c r="G2" i="2"/>
  <c r="H2" i="2" s="1"/>
  <c r="G18" i="2"/>
  <c r="H12" i="2"/>
  <c r="G10" i="2"/>
  <c r="G5" i="2"/>
  <c r="G21" i="2"/>
  <c r="G13" i="2"/>
  <c r="G19" i="2"/>
  <c r="G11" i="2"/>
  <c r="G3" i="2"/>
  <c r="G26" i="2"/>
  <c r="G25" i="2"/>
  <c r="G17" i="2"/>
  <c r="G9" i="2"/>
  <c r="G24" i="2"/>
  <c r="G16" i="2"/>
  <c r="G8" i="2"/>
  <c r="G23" i="2"/>
  <c r="G15" i="2"/>
  <c r="G7" i="2"/>
  <c r="G22" i="2"/>
  <c r="G14" i="2"/>
  <c r="G6" i="2"/>
  <c r="G20" i="2"/>
  <c r="G4" i="2"/>
  <c r="L24" i="2" l="1"/>
  <c r="M24" i="2" s="1"/>
  <c r="L14" i="2"/>
  <c r="M14" i="2" s="1"/>
  <c r="L13" i="2"/>
  <c r="M13" i="2" s="1"/>
  <c r="L21" i="2"/>
  <c r="M21" i="2" s="1"/>
  <c r="L10" i="2"/>
  <c r="M10" i="2" s="1"/>
  <c r="L16" i="2"/>
  <c r="M16" i="2" s="1"/>
  <c r="L6" i="2"/>
  <c r="M6" i="2" s="1"/>
  <c r="L19" i="2"/>
  <c r="M19" i="2" s="1"/>
  <c r="L7" i="2"/>
  <c r="M7" i="2" s="1"/>
  <c r="L18" i="2"/>
  <c r="M18" i="2" s="1"/>
  <c r="L20" i="2"/>
  <c r="M20" i="2" s="1"/>
  <c r="L23" i="2"/>
  <c r="M23" i="2" s="1"/>
  <c r="L8" i="2"/>
  <c r="M8" i="2" s="1"/>
  <c r="L2" i="2"/>
  <c r="M2" i="2" s="1"/>
  <c r="L9" i="2"/>
  <c r="M9" i="2" s="1"/>
  <c r="H26" i="2"/>
  <c r="H20" i="2"/>
  <c r="H25" i="2"/>
  <c r="H23" i="2"/>
  <c r="H13" i="2"/>
  <c r="H18" i="2"/>
  <c r="H6" i="2"/>
  <c r="H9" i="2"/>
  <c r="H3" i="2"/>
  <c r="H14" i="2"/>
  <c r="H21" i="2"/>
  <c r="H22" i="2"/>
  <c r="H8" i="2"/>
  <c r="H17" i="2"/>
  <c r="H11" i="2"/>
  <c r="H4" i="2"/>
  <c r="H7" i="2"/>
  <c r="H5" i="2"/>
  <c r="H24" i="2"/>
  <c r="H10" i="2"/>
  <c r="H16" i="2"/>
  <c r="H19" i="2"/>
  <c r="H15" i="2"/>
</calcChain>
</file>

<file path=xl/sharedStrings.xml><?xml version="1.0" encoding="utf-8"?>
<sst xmlns="http://schemas.openxmlformats.org/spreadsheetml/2006/main" count="40" uniqueCount="40">
  <si>
    <t>d(cm)</t>
  </si>
  <si>
    <t>Bx (µT)</t>
  </si>
  <si>
    <t>By (µT)</t>
  </si>
  <si>
    <t>Bz (µT)</t>
  </si>
  <si>
    <t>I (mA)</t>
  </si>
  <si>
    <t>U(V)</t>
  </si>
  <si>
    <t>Unnamed: 6</t>
  </si>
  <si>
    <t>B (magnitude) (µT)</t>
  </si>
  <si>
    <t>Metingnr</t>
  </si>
  <si>
    <t>Frequentie (Hz)</t>
  </si>
  <si>
    <t>Stroom (mA)</t>
  </si>
  <si>
    <t>V_AVG (V)</t>
  </si>
  <si>
    <t>V_MAX (V)</t>
  </si>
  <si>
    <t>V_MIN (V)</t>
  </si>
  <si>
    <t>V_AMPLIT (V)</t>
  </si>
  <si>
    <t>Meting:</t>
  </si>
  <si>
    <t>Set 1</t>
  </si>
  <si>
    <t>Set  2</t>
  </si>
  <si>
    <t>Set 3</t>
  </si>
  <si>
    <t>Set 4</t>
  </si>
  <si>
    <t>Set 5</t>
  </si>
  <si>
    <t>Delta V_AC (V)</t>
  </si>
  <si>
    <r>
      <t xml:space="preserve">V_piek = (Delta V_AC)_rms </t>
    </r>
    <r>
      <rPr>
        <sz val="5"/>
        <color theme="1"/>
        <rFont val="Calibri (Body)"/>
      </rPr>
      <t>want lockin meet rms</t>
    </r>
    <r>
      <rPr>
        <sz val="11"/>
        <color theme="1"/>
        <rFont val="Calibri"/>
        <family val="2"/>
        <scheme val="minor"/>
      </rPr>
      <t xml:space="preserve"> (V)</t>
    </r>
  </si>
  <si>
    <r>
      <t>Draaihoek (radialen)</t>
    </r>
    <r>
      <rPr>
        <sz val="8"/>
        <color theme="1"/>
        <rFont val="Calibri (Body)"/>
      </rPr>
      <t xml:space="preserve"> (=Delta(V_AC)/(2V_DC)) </t>
    </r>
  </si>
  <si>
    <t>lengte kwarts (mm)</t>
  </si>
  <si>
    <t>AF(lengte) (mm)</t>
  </si>
  <si>
    <t>B_veld door staaf (T*m)</t>
  </si>
  <si>
    <t>Verdet-cste V (rad/Tm)</t>
  </si>
  <si>
    <t>Verdet (graden/(T*m))</t>
  </si>
  <si>
    <r>
      <t>Draaihoek (graden)</t>
    </r>
    <r>
      <rPr>
        <sz val="8"/>
        <color theme="1"/>
        <rFont val="Calibri (Body)"/>
      </rPr>
      <t xml:space="preserve"> (=Delta(V_AC)/(2V_DC)) </t>
    </r>
  </si>
  <si>
    <t>V_CD = V_AVG (V)</t>
  </si>
  <si>
    <t>B_referentie (mT) zie interpolatie python</t>
  </si>
  <si>
    <t>Constantes:</t>
  </si>
  <si>
    <t>B_referentie door staaf  (T*mm)</t>
  </si>
  <si>
    <t>B_spoel (T)</t>
  </si>
  <si>
    <t>B_spoel (mT)</t>
  </si>
  <si>
    <t>lengte kwarts (m)</t>
  </si>
  <si>
    <t>schalingsfactor: I/(I_ref)</t>
  </si>
  <si>
    <t>I_referentie (mA)</t>
  </si>
  <si>
    <t>Golflengte laser (nm)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</si>
</sst>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color theme="1"/>
      <name val="Calibri (Body)"/>
    </font>
    <font>
      <sz val="5"/>
      <color theme="1"/>
      <name val="Calibri (Body)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11" fontId="0" fillId="0" borderId="0" xfId="0" applyNumberFormat="1"/>
    <xf numFmtId="0" fontId="0" fillId="0" borderId="0" xfId="0" applyNumberFormat="1"/>
    <xf numFmtId="0" fontId="0" fillId="0" borderId="2" xfId="0" applyFill="1" applyBorder="1"/>
    <xf numFmtId="0" fontId="0" fillId="0" borderId="2" xfId="0" applyNumberFormat="1" applyBorder="1"/>
    <xf numFmtId="0" fontId="0" fillId="0" borderId="3" xfId="0" applyFill="1" applyBorder="1"/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Fill="1" applyBorder="1" applyAlignment="1">
      <alignment horizontal="left"/>
    </xf>
    <xf numFmtId="0" fontId="0" fillId="0" borderId="2" xfId="0" applyNumberFormat="1" applyBorder="1" applyAlignment="1">
      <alignment horizontal="left"/>
    </xf>
    <xf numFmtId="0" fontId="0" fillId="0" borderId="5" xfId="0" applyBorder="1"/>
    <xf numFmtId="0" fontId="0" fillId="0" borderId="3" xfId="0" applyNumberFormat="1" applyBorder="1"/>
    <xf numFmtId="0" fontId="0" fillId="0" borderId="4" xfId="0" applyNumberFormat="1" applyBorder="1"/>
    <xf numFmtId="0" fontId="0" fillId="0" borderId="0" xfId="0" applyBorder="1"/>
    <xf numFmtId="0" fontId="0" fillId="0" borderId="0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"/>
  <sheetViews>
    <sheetView workbookViewId="0">
      <selection activeCell="E16" sqref="E16"/>
    </sheetView>
  </sheetViews>
  <sheetFormatPr baseColWidth="10" defaultColWidth="8.83203125" defaultRowHeight="15" x14ac:dyDescent="0.2"/>
  <cols>
    <col min="1" max="1" width="5.5" bestFit="1" customWidth="1"/>
    <col min="2" max="4" width="6.5" bestFit="1" customWidth="1"/>
    <col min="5" max="5" width="5.6640625" bestFit="1" customWidth="1"/>
    <col min="6" max="6" width="4.5" bestFit="1" customWidth="1"/>
    <col min="7" max="7" width="10.5" bestFit="1" customWidth="1"/>
    <col min="8" max="8" width="15.5" bestFit="1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-30</v>
      </c>
      <c r="C2">
        <v>80</v>
      </c>
      <c r="D2">
        <v>58</v>
      </c>
      <c r="E2">
        <v>63.9</v>
      </c>
      <c r="F2">
        <v>8</v>
      </c>
      <c r="H2">
        <v>103.2666451474047</v>
      </c>
    </row>
    <row r="3" spans="1:8" x14ac:dyDescent="0.2">
      <c r="A3">
        <v>0.5</v>
      </c>
      <c r="B3">
        <v>-35</v>
      </c>
      <c r="C3">
        <v>88</v>
      </c>
      <c r="D3">
        <v>55</v>
      </c>
      <c r="E3">
        <v>63.9</v>
      </c>
      <c r="F3">
        <v>8</v>
      </c>
      <c r="H3">
        <v>109.5171219490359</v>
      </c>
    </row>
    <row r="4" spans="1:8" x14ac:dyDescent="0.2">
      <c r="A4">
        <v>1</v>
      </c>
      <c r="B4">
        <v>-33</v>
      </c>
      <c r="C4">
        <v>98</v>
      </c>
      <c r="D4">
        <v>58</v>
      </c>
      <c r="E4">
        <v>63.9</v>
      </c>
      <c r="F4">
        <v>8</v>
      </c>
      <c r="H4">
        <v>118.5622199522259</v>
      </c>
    </row>
    <row r="5" spans="1:8" x14ac:dyDescent="0.2">
      <c r="A5">
        <v>1.5</v>
      </c>
      <c r="B5">
        <v>-33</v>
      </c>
      <c r="C5">
        <v>109</v>
      </c>
      <c r="D5">
        <v>59</v>
      </c>
      <c r="E5">
        <v>63.9</v>
      </c>
      <c r="F5">
        <v>8</v>
      </c>
      <c r="H5">
        <v>128.26145173044</v>
      </c>
    </row>
    <row r="6" spans="1:8" x14ac:dyDescent="0.2">
      <c r="A6">
        <v>2</v>
      </c>
      <c r="B6">
        <v>-31</v>
      </c>
      <c r="C6">
        <v>123</v>
      </c>
      <c r="D6">
        <v>58</v>
      </c>
      <c r="E6">
        <v>63.9</v>
      </c>
      <c r="F6">
        <v>8</v>
      </c>
      <c r="H6">
        <v>139.47759676736621</v>
      </c>
    </row>
    <row r="7" spans="1:8" x14ac:dyDescent="0.2">
      <c r="A7">
        <v>2.5</v>
      </c>
      <c r="B7">
        <v>-28</v>
      </c>
      <c r="C7">
        <v>142</v>
      </c>
      <c r="D7">
        <v>62</v>
      </c>
      <c r="E7">
        <v>63.9</v>
      </c>
      <c r="F7">
        <v>8</v>
      </c>
      <c r="H7">
        <v>157.45475540611659</v>
      </c>
    </row>
    <row r="8" spans="1:8" x14ac:dyDescent="0.2">
      <c r="A8">
        <v>3</v>
      </c>
      <c r="B8">
        <v>-26</v>
      </c>
      <c r="C8">
        <v>163</v>
      </c>
      <c r="D8">
        <v>63</v>
      </c>
      <c r="E8">
        <v>63.9</v>
      </c>
      <c r="F8">
        <v>8</v>
      </c>
      <c r="H8">
        <v>176.67484257811009</v>
      </c>
    </row>
    <row r="9" spans="1:8" x14ac:dyDescent="0.2">
      <c r="A9">
        <v>3.5</v>
      </c>
      <c r="B9">
        <v>-21</v>
      </c>
      <c r="C9">
        <v>195</v>
      </c>
      <c r="D9">
        <v>64</v>
      </c>
      <c r="E9">
        <v>63.9</v>
      </c>
      <c r="F9">
        <v>8</v>
      </c>
      <c r="H9">
        <v>206.30559856678639</v>
      </c>
    </row>
    <row r="10" spans="1:8" x14ac:dyDescent="0.2">
      <c r="A10">
        <v>4</v>
      </c>
      <c r="B10">
        <v>-11</v>
      </c>
      <c r="C10">
        <v>232</v>
      </c>
      <c r="D10">
        <v>67</v>
      </c>
      <c r="E10">
        <v>63.9</v>
      </c>
      <c r="F10">
        <v>8</v>
      </c>
      <c r="H10">
        <v>241.73125573661341</v>
      </c>
    </row>
    <row r="11" spans="1:8" x14ac:dyDescent="0.2">
      <c r="A11">
        <v>4.5</v>
      </c>
      <c r="B11">
        <v>-5</v>
      </c>
      <c r="C11">
        <v>284</v>
      </c>
      <c r="D11">
        <v>70</v>
      </c>
      <c r="E11">
        <v>63.9</v>
      </c>
      <c r="F11">
        <v>8</v>
      </c>
      <c r="H11">
        <v>292.54230463302218</v>
      </c>
    </row>
    <row r="12" spans="1:8" x14ac:dyDescent="0.2">
      <c r="A12">
        <v>5</v>
      </c>
      <c r="B12">
        <v>2</v>
      </c>
      <c r="C12">
        <v>351</v>
      </c>
      <c r="D12">
        <v>73</v>
      </c>
      <c r="E12">
        <v>63.9</v>
      </c>
      <c r="F12">
        <v>8</v>
      </c>
      <c r="H12">
        <v>358.5163873520986</v>
      </c>
    </row>
    <row r="13" spans="1:8" x14ac:dyDescent="0.2">
      <c r="A13">
        <v>5.5</v>
      </c>
      <c r="B13">
        <v>13</v>
      </c>
      <c r="C13">
        <v>444</v>
      </c>
      <c r="D13">
        <v>83</v>
      </c>
      <c r="E13">
        <v>63.9</v>
      </c>
      <c r="F13">
        <v>8</v>
      </c>
      <c r="H13">
        <v>451.87830220093548</v>
      </c>
    </row>
    <row r="14" spans="1:8" x14ac:dyDescent="0.2">
      <c r="A14">
        <v>6</v>
      </c>
      <c r="B14">
        <v>26</v>
      </c>
      <c r="C14">
        <v>549</v>
      </c>
      <c r="D14">
        <v>85</v>
      </c>
      <c r="E14">
        <v>63.9</v>
      </c>
      <c r="F14">
        <v>8</v>
      </c>
      <c r="H14">
        <v>556.1492605407293</v>
      </c>
    </row>
    <row r="15" spans="1:8" x14ac:dyDescent="0.2">
      <c r="A15">
        <v>6.5</v>
      </c>
      <c r="B15">
        <v>19</v>
      </c>
      <c r="C15">
        <v>657</v>
      </c>
      <c r="D15">
        <v>100</v>
      </c>
      <c r="E15">
        <v>63.9</v>
      </c>
      <c r="F15">
        <v>8</v>
      </c>
      <c r="H15">
        <v>664.83832621171894</v>
      </c>
    </row>
    <row r="16" spans="1:8" x14ac:dyDescent="0.2">
      <c r="A16">
        <v>7</v>
      </c>
      <c r="B16">
        <v>31</v>
      </c>
      <c r="C16">
        <v>767</v>
      </c>
      <c r="D16">
        <v>100</v>
      </c>
      <c r="E16">
        <v>63.9</v>
      </c>
      <c r="F16">
        <v>8</v>
      </c>
      <c r="H16">
        <v>774.11239494016627</v>
      </c>
    </row>
    <row r="17" spans="1:8" x14ac:dyDescent="0.2">
      <c r="A17">
        <v>7.5</v>
      </c>
      <c r="B17">
        <v>27</v>
      </c>
      <c r="C17">
        <v>859</v>
      </c>
      <c r="D17">
        <v>109</v>
      </c>
      <c r="E17">
        <v>63.9</v>
      </c>
      <c r="F17">
        <v>8</v>
      </c>
      <c r="H17">
        <v>866.30883638573141</v>
      </c>
    </row>
    <row r="18" spans="1:8" x14ac:dyDescent="0.2">
      <c r="A18">
        <v>8</v>
      </c>
      <c r="B18">
        <v>26</v>
      </c>
      <c r="C18">
        <v>951</v>
      </c>
      <c r="D18">
        <v>118</v>
      </c>
      <c r="E18">
        <v>63.9</v>
      </c>
      <c r="F18">
        <v>8</v>
      </c>
      <c r="H18">
        <v>958.64539846598132</v>
      </c>
    </row>
    <row r="19" spans="1:8" x14ac:dyDescent="0.2">
      <c r="A19">
        <v>8.5</v>
      </c>
      <c r="B19">
        <v>26</v>
      </c>
      <c r="C19">
        <v>1015</v>
      </c>
      <c r="D19">
        <v>126</v>
      </c>
      <c r="E19">
        <v>63.9</v>
      </c>
      <c r="F19">
        <v>8</v>
      </c>
      <c r="H19">
        <v>1023.121204941037</v>
      </c>
    </row>
    <row r="20" spans="1:8" x14ac:dyDescent="0.2">
      <c r="A20">
        <v>9</v>
      </c>
      <c r="B20">
        <v>23</v>
      </c>
      <c r="C20">
        <v>1062</v>
      </c>
      <c r="D20">
        <v>131</v>
      </c>
      <c r="E20">
        <v>63.9</v>
      </c>
      <c r="F20">
        <v>8</v>
      </c>
      <c r="H20">
        <v>1070.296220679116</v>
      </c>
    </row>
    <row r="21" spans="1:8" x14ac:dyDescent="0.2">
      <c r="A21">
        <v>9.5</v>
      </c>
      <c r="B21">
        <v>19</v>
      </c>
      <c r="C21">
        <v>1095</v>
      </c>
      <c r="D21">
        <v>134</v>
      </c>
      <c r="E21">
        <v>63.9</v>
      </c>
      <c r="F21">
        <v>8</v>
      </c>
      <c r="H21">
        <v>1103.3322255784969</v>
      </c>
    </row>
    <row r="22" spans="1:8" x14ac:dyDescent="0.2">
      <c r="A22">
        <v>10</v>
      </c>
      <c r="B22">
        <v>11</v>
      </c>
      <c r="C22">
        <v>1115</v>
      </c>
      <c r="D22">
        <v>132</v>
      </c>
      <c r="E22">
        <v>63.9</v>
      </c>
      <c r="F22">
        <v>8</v>
      </c>
      <c r="H22">
        <v>1122.8401489081159</v>
      </c>
    </row>
    <row r="23" spans="1:8" x14ac:dyDescent="0.2">
      <c r="A23">
        <v>10.5</v>
      </c>
      <c r="B23">
        <v>9</v>
      </c>
      <c r="C23">
        <v>1124</v>
      </c>
      <c r="D23">
        <v>136</v>
      </c>
      <c r="E23">
        <v>63.9</v>
      </c>
      <c r="F23">
        <v>8</v>
      </c>
      <c r="H23">
        <v>1132.2336331340809</v>
      </c>
    </row>
    <row r="24" spans="1:8" x14ac:dyDescent="0.2">
      <c r="A24">
        <v>11</v>
      </c>
      <c r="B24">
        <v>-2</v>
      </c>
      <c r="C24">
        <v>1119</v>
      </c>
      <c r="D24">
        <v>134</v>
      </c>
      <c r="E24">
        <v>63.9</v>
      </c>
      <c r="F24">
        <v>8</v>
      </c>
      <c r="H24">
        <v>1126.9964507486261</v>
      </c>
    </row>
    <row r="25" spans="1:8" x14ac:dyDescent="0.2">
      <c r="A25">
        <v>11.5</v>
      </c>
      <c r="B25">
        <v>0</v>
      </c>
      <c r="C25">
        <v>1103</v>
      </c>
      <c r="D25">
        <v>135</v>
      </c>
      <c r="E25">
        <v>63.9</v>
      </c>
      <c r="F25">
        <v>8</v>
      </c>
      <c r="H25">
        <v>1111.2308491038209</v>
      </c>
    </row>
    <row r="26" spans="1:8" x14ac:dyDescent="0.2">
      <c r="A26">
        <v>12</v>
      </c>
      <c r="B26">
        <v>-11</v>
      </c>
      <c r="C26">
        <v>1079</v>
      </c>
      <c r="D26">
        <v>130</v>
      </c>
      <c r="E26">
        <v>63.9</v>
      </c>
      <c r="F26">
        <v>8</v>
      </c>
      <c r="H26">
        <v>1086.8587764746619</v>
      </c>
    </row>
    <row r="27" spans="1:8" x14ac:dyDescent="0.2">
      <c r="A27">
        <v>12.5</v>
      </c>
      <c r="B27">
        <v>-11</v>
      </c>
      <c r="C27">
        <v>1051</v>
      </c>
      <c r="D27">
        <v>132</v>
      </c>
      <c r="E27">
        <v>63.9</v>
      </c>
      <c r="F27">
        <v>8</v>
      </c>
      <c r="H27">
        <v>1059.313928918147</v>
      </c>
    </row>
    <row r="28" spans="1:8" x14ac:dyDescent="0.2">
      <c r="A28">
        <v>13</v>
      </c>
      <c r="B28">
        <v>-7</v>
      </c>
      <c r="C28">
        <v>1028</v>
      </c>
      <c r="D28">
        <v>132</v>
      </c>
      <c r="E28">
        <v>63.9</v>
      </c>
      <c r="F28">
        <v>8</v>
      </c>
      <c r="H28">
        <v>1036.463699316093</v>
      </c>
    </row>
    <row r="29" spans="1:8" x14ac:dyDescent="0.2">
      <c r="A29">
        <v>13.5</v>
      </c>
      <c r="B29">
        <v>-4</v>
      </c>
      <c r="C29">
        <v>1013</v>
      </c>
      <c r="D29">
        <v>127</v>
      </c>
      <c r="E29">
        <v>63.9</v>
      </c>
      <c r="F29">
        <v>8</v>
      </c>
      <c r="H29">
        <v>1020.9378041781</v>
      </c>
    </row>
    <row r="30" spans="1:8" x14ac:dyDescent="0.2">
      <c r="A30">
        <v>14</v>
      </c>
      <c r="B30">
        <v>-3</v>
      </c>
      <c r="C30">
        <v>1015</v>
      </c>
      <c r="D30">
        <v>128</v>
      </c>
      <c r="E30">
        <v>63.9</v>
      </c>
      <c r="F30">
        <v>8</v>
      </c>
      <c r="H30">
        <v>1023.04349858645</v>
      </c>
    </row>
    <row r="31" spans="1:8" x14ac:dyDescent="0.2">
      <c r="A31">
        <v>14.5</v>
      </c>
      <c r="B31">
        <v>2</v>
      </c>
      <c r="C31">
        <v>1029</v>
      </c>
      <c r="D31">
        <v>131</v>
      </c>
      <c r="E31">
        <v>63.9</v>
      </c>
      <c r="F31">
        <v>8</v>
      </c>
      <c r="H31">
        <v>1037.307090499241</v>
      </c>
    </row>
    <row r="32" spans="1:8" x14ac:dyDescent="0.2">
      <c r="A32">
        <v>15</v>
      </c>
      <c r="B32">
        <v>2</v>
      </c>
      <c r="C32">
        <v>1049</v>
      </c>
      <c r="D32">
        <v>130</v>
      </c>
      <c r="E32">
        <v>63.9</v>
      </c>
      <c r="F32">
        <v>8</v>
      </c>
      <c r="H32">
        <v>1057.026489734292</v>
      </c>
    </row>
    <row r="33" spans="1:8" x14ac:dyDescent="0.2">
      <c r="A33">
        <v>15.5</v>
      </c>
      <c r="B33">
        <v>3</v>
      </c>
      <c r="C33">
        <v>1063</v>
      </c>
      <c r="D33">
        <v>133</v>
      </c>
      <c r="E33">
        <v>63.9</v>
      </c>
      <c r="F33">
        <v>8</v>
      </c>
      <c r="H33">
        <v>1071.292210370261</v>
      </c>
    </row>
    <row r="34" spans="1:8" x14ac:dyDescent="0.2">
      <c r="A34">
        <v>16</v>
      </c>
      <c r="B34">
        <v>1</v>
      </c>
      <c r="C34">
        <v>1075</v>
      </c>
      <c r="D34">
        <v>133</v>
      </c>
      <c r="E34">
        <v>63.9</v>
      </c>
      <c r="F34">
        <v>8</v>
      </c>
      <c r="H34">
        <v>1083.196658045066</v>
      </c>
    </row>
    <row r="35" spans="1:8" x14ac:dyDescent="0.2">
      <c r="A35">
        <v>16.5</v>
      </c>
      <c r="B35">
        <v>0</v>
      </c>
      <c r="C35">
        <v>1075</v>
      </c>
      <c r="D35">
        <v>138</v>
      </c>
      <c r="E35">
        <v>63.9</v>
      </c>
      <c r="F35">
        <v>8</v>
      </c>
      <c r="H35">
        <v>1083.821479765003</v>
      </c>
    </row>
    <row r="36" spans="1:8" x14ac:dyDescent="0.2">
      <c r="A36">
        <v>17</v>
      </c>
      <c r="B36">
        <v>-10</v>
      </c>
      <c r="C36">
        <v>1068</v>
      </c>
      <c r="D36">
        <v>131</v>
      </c>
      <c r="E36">
        <v>63.9</v>
      </c>
      <c r="F36">
        <v>8</v>
      </c>
      <c r="H36">
        <v>1076.05064936554</v>
      </c>
    </row>
    <row r="37" spans="1:8" x14ac:dyDescent="0.2">
      <c r="A37">
        <v>17.5</v>
      </c>
      <c r="B37">
        <v>-15</v>
      </c>
      <c r="C37">
        <v>1043</v>
      </c>
      <c r="D37">
        <v>126</v>
      </c>
      <c r="E37">
        <v>63.9</v>
      </c>
      <c r="F37">
        <v>8</v>
      </c>
      <c r="H37">
        <v>1050.6902493123271</v>
      </c>
    </row>
    <row r="38" spans="1:8" x14ac:dyDescent="0.2">
      <c r="A38">
        <v>18</v>
      </c>
      <c r="B38">
        <v>-15</v>
      </c>
      <c r="C38">
        <v>1013</v>
      </c>
      <c r="D38">
        <v>125</v>
      </c>
      <c r="E38">
        <v>63.9</v>
      </c>
      <c r="F38">
        <v>8</v>
      </c>
      <c r="H38">
        <v>1020.793318943654</v>
      </c>
    </row>
    <row r="39" spans="1:8" x14ac:dyDescent="0.2">
      <c r="A39">
        <v>18.5</v>
      </c>
      <c r="B39">
        <v>-19</v>
      </c>
      <c r="C39">
        <v>957</v>
      </c>
      <c r="D39">
        <v>122</v>
      </c>
      <c r="E39">
        <v>63.9</v>
      </c>
      <c r="F39">
        <v>8</v>
      </c>
      <c r="H39">
        <v>964.9321219650634</v>
      </c>
    </row>
    <row r="40" spans="1:8" x14ac:dyDescent="0.2">
      <c r="A40">
        <v>19</v>
      </c>
      <c r="B40">
        <v>-29</v>
      </c>
      <c r="C40">
        <v>893</v>
      </c>
      <c r="D40">
        <v>114</v>
      </c>
      <c r="E40">
        <v>63.9</v>
      </c>
      <c r="F40">
        <v>8</v>
      </c>
      <c r="H40">
        <v>900.71416109662675</v>
      </c>
    </row>
    <row r="41" spans="1:8" x14ac:dyDescent="0.2">
      <c r="A41">
        <v>19.5</v>
      </c>
      <c r="B41">
        <v>-40</v>
      </c>
      <c r="C41">
        <v>801</v>
      </c>
      <c r="D41">
        <v>102</v>
      </c>
      <c r="E41">
        <v>63.9</v>
      </c>
      <c r="F41">
        <v>8</v>
      </c>
      <c r="H41">
        <v>808.45840956724544</v>
      </c>
    </row>
    <row r="42" spans="1:8" x14ac:dyDescent="0.2">
      <c r="A42">
        <v>20</v>
      </c>
      <c r="B42">
        <v>-40</v>
      </c>
      <c r="C42">
        <v>693</v>
      </c>
      <c r="D42">
        <v>99</v>
      </c>
      <c r="E42">
        <v>63.9</v>
      </c>
      <c r="F42">
        <v>8</v>
      </c>
      <c r="H42">
        <v>701.17758093082239</v>
      </c>
    </row>
    <row r="43" spans="1:8" x14ac:dyDescent="0.2">
      <c r="A43">
        <v>20.5</v>
      </c>
      <c r="B43">
        <v>-38</v>
      </c>
      <c r="C43">
        <v>580</v>
      </c>
      <c r="D43">
        <v>95</v>
      </c>
      <c r="E43">
        <v>63.9</v>
      </c>
      <c r="F43">
        <v>8</v>
      </c>
      <c r="H43">
        <v>588.95585573114056</v>
      </c>
    </row>
    <row r="44" spans="1:8" x14ac:dyDescent="0.2">
      <c r="A44">
        <v>21</v>
      </c>
      <c r="B44">
        <v>-36</v>
      </c>
      <c r="C44">
        <v>485</v>
      </c>
      <c r="D44">
        <v>88</v>
      </c>
      <c r="E44">
        <v>63.9</v>
      </c>
      <c r="F44">
        <v>8</v>
      </c>
      <c r="H44">
        <v>494.23172702690789</v>
      </c>
    </row>
    <row r="45" spans="1:8" x14ac:dyDescent="0.2">
      <c r="A45">
        <v>21.5</v>
      </c>
      <c r="B45">
        <v>-31</v>
      </c>
      <c r="C45">
        <v>381</v>
      </c>
      <c r="D45">
        <v>89</v>
      </c>
      <c r="E45">
        <v>63.9</v>
      </c>
      <c r="F45">
        <v>8</v>
      </c>
      <c r="H45">
        <v>392.48312065616273</v>
      </c>
    </row>
    <row r="46" spans="1:8" x14ac:dyDescent="0.2">
      <c r="A46">
        <v>22</v>
      </c>
      <c r="B46">
        <v>-32</v>
      </c>
      <c r="C46">
        <v>316</v>
      </c>
      <c r="D46">
        <v>77</v>
      </c>
      <c r="E46">
        <v>63.9</v>
      </c>
      <c r="F46">
        <v>8</v>
      </c>
      <c r="H46">
        <v>326.81646225366308</v>
      </c>
    </row>
    <row r="47" spans="1:8" x14ac:dyDescent="0.2">
      <c r="A47">
        <v>22.5</v>
      </c>
      <c r="B47">
        <v>-33</v>
      </c>
      <c r="C47">
        <v>252</v>
      </c>
      <c r="D47">
        <v>74</v>
      </c>
      <c r="E47">
        <v>63.9</v>
      </c>
      <c r="F47">
        <v>8</v>
      </c>
      <c r="H47">
        <v>264.70549673174531</v>
      </c>
    </row>
    <row r="48" spans="1:8" x14ac:dyDescent="0.2">
      <c r="A48">
        <v>23</v>
      </c>
      <c r="B48">
        <v>-35</v>
      </c>
      <c r="C48">
        <v>198</v>
      </c>
      <c r="D48">
        <v>69</v>
      </c>
      <c r="E48">
        <v>63.9</v>
      </c>
      <c r="F48">
        <v>8</v>
      </c>
      <c r="H48">
        <v>212.57939693206399</v>
      </c>
    </row>
    <row r="49" spans="1:8" x14ac:dyDescent="0.2">
      <c r="A49">
        <v>23.5</v>
      </c>
      <c r="B49">
        <v>-38</v>
      </c>
      <c r="C49">
        <v>167</v>
      </c>
      <c r="D49">
        <v>69</v>
      </c>
      <c r="E49">
        <v>63.9</v>
      </c>
      <c r="F49">
        <v>8</v>
      </c>
      <c r="H49">
        <v>184.64560650066929</v>
      </c>
    </row>
    <row r="50" spans="1:8" x14ac:dyDescent="0.2">
      <c r="A50">
        <v>24</v>
      </c>
      <c r="B50">
        <v>-39</v>
      </c>
      <c r="C50">
        <v>143</v>
      </c>
      <c r="D50">
        <v>64</v>
      </c>
      <c r="E50">
        <v>63.9</v>
      </c>
      <c r="F50">
        <v>8</v>
      </c>
      <c r="H50">
        <v>161.4496825639493</v>
      </c>
    </row>
    <row r="51" spans="1:8" x14ac:dyDescent="0.2">
      <c r="A51">
        <v>24.5</v>
      </c>
      <c r="B51">
        <v>-41</v>
      </c>
      <c r="C51">
        <v>126</v>
      </c>
      <c r="D51">
        <v>64</v>
      </c>
      <c r="E51">
        <v>63.9</v>
      </c>
      <c r="F51">
        <v>8</v>
      </c>
      <c r="H51">
        <v>147.14958375748131</v>
      </c>
    </row>
    <row r="52" spans="1:8" x14ac:dyDescent="0.2">
      <c r="A52">
        <v>25</v>
      </c>
      <c r="B52">
        <v>-41</v>
      </c>
      <c r="C52">
        <v>110</v>
      </c>
      <c r="D52">
        <v>61</v>
      </c>
      <c r="E52">
        <v>63.9</v>
      </c>
      <c r="F52">
        <v>8</v>
      </c>
      <c r="H52">
        <v>132.29512462672241</v>
      </c>
    </row>
    <row r="53" spans="1:8" x14ac:dyDescent="0.2">
      <c r="A53">
        <v>25.5</v>
      </c>
      <c r="B53">
        <v>-42</v>
      </c>
      <c r="C53">
        <v>98</v>
      </c>
      <c r="D53">
        <v>60</v>
      </c>
      <c r="E53">
        <v>63.9</v>
      </c>
      <c r="F53">
        <v>8</v>
      </c>
      <c r="H53">
        <v>122.343777937417</v>
      </c>
    </row>
    <row r="54" spans="1:8" x14ac:dyDescent="0.2">
      <c r="A54">
        <v>26</v>
      </c>
      <c r="B54">
        <v>-41</v>
      </c>
      <c r="C54">
        <v>90</v>
      </c>
      <c r="D54">
        <v>58</v>
      </c>
      <c r="E54">
        <v>63.9</v>
      </c>
      <c r="F54">
        <v>8</v>
      </c>
      <c r="H54">
        <v>114.65164630305139</v>
      </c>
    </row>
    <row r="55" spans="1:8" x14ac:dyDescent="0.2">
      <c r="A55">
        <v>26.5</v>
      </c>
      <c r="B55">
        <v>-49</v>
      </c>
      <c r="C55">
        <v>81</v>
      </c>
      <c r="D55">
        <v>56</v>
      </c>
      <c r="E55">
        <v>63.9</v>
      </c>
      <c r="F55">
        <v>8</v>
      </c>
      <c r="H55">
        <v>109.9909087152206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F9668-A97B-CE41-BACA-47C7E4EC7F9D}">
  <dimension ref="A1:G26"/>
  <sheetViews>
    <sheetView workbookViewId="0">
      <selection activeCell="E39" sqref="E39"/>
    </sheetView>
  </sheetViews>
  <sheetFormatPr baseColWidth="10" defaultRowHeight="15" x14ac:dyDescent="0.2"/>
  <cols>
    <col min="1" max="1" width="8.1640625" bestFit="1" customWidth="1"/>
    <col min="2" max="2" width="12.5" bestFit="1" customWidth="1"/>
    <col min="3" max="3" width="10.6640625" bestFit="1" customWidth="1"/>
    <col min="4" max="4" width="8.5" bestFit="1" customWidth="1"/>
    <col min="5" max="5" width="8.83203125" bestFit="1" customWidth="1"/>
    <col min="6" max="6" width="8.5" bestFit="1" customWidth="1"/>
    <col min="7" max="7" width="11" bestFit="1" customWidth="1"/>
  </cols>
  <sheetData>
    <row r="1" spans="1:7" x14ac:dyDescent="0.2">
      <c r="A1" s="3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  <c r="G1" s="4" t="s">
        <v>14</v>
      </c>
    </row>
    <row r="2" spans="1:7" x14ac:dyDescent="0.2">
      <c r="A2" s="2">
        <v>1</v>
      </c>
      <c r="B2">
        <v>60</v>
      </c>
      <c r="C2">
        <v>64.099999999999994</v>
      </c>
      <c r="D2">
        <v>1.2549999999999999</v>
      </c>
      <c r="E2">
        <v>1.264</v>
      </c>
      <c r="F2">
        <v>1.2470000000000001</v>
      </c>
      <c r="G2">
        <v>2.5139999999999998</v>
      </c>
    </row>
    <row r="3" spans="1:7" x14ac:dyDescent="0.2">
      <c r="A3" s="2">
        <v>2</v>
      </c>
      <c r="B3">
        <v>120</v>
      </c>
      <c r="C3">
        <v>64.7</v>
      </c>
      <c r="D3">
        <v>1.256</v>
      </c>
      <c r="E3">
        <v>1.266</v>
      </c>
      <c r="F3">
        <v>1.246</v>
      </c>
      <c r="G3">
        <v>2.5169999999999999</v>
      </c>
    </row>
    <row r="4" spans="1:7" x14ac:dyDescent="0.2">
      <c r="A4" s="2">
        <v>3</v>
      </c>
      <c r="B4">
        <v>360</v>
      </c>
      <c r="C4">
        <v>64.099999999999994</v>
      </c>
      <c r="D4">
        <v>1.25</v>
      </c>
      <c r="E4">
        <v>1.26</v>
      </c>
      <c r="F4">
        <v>1.24</v>
      </c>
      <c r="G4">
        <v>2.5179999999999998</v>
      </c>
    </row>
    <row r="5" spans="1:7" x14ac:dyDescent="0.2">
      <c r="A5" s="2">
        <v>4</v>
      </c>
      <c r="B5">
        <v>720</v>
      </c>
      <c r="C5">
        <v>64</v>
      </c>
      <c r="D5">
        <v>1.2669999999999999</v>
      </c>
      <c r="E5">
        <v>1.2789999999999999</v>
      </c>
      <c r="F5">
        <v>1.254</v>
      </c>
      <c r="G5">
        <v>2.5190000000000001</v>
      </c>
    </row>
    <row r="6" spans="1:7" x14ac:dyDescent="0.2">
      <c r="A6" s="3">
        <v>5</v>
      </c>
      <c r="B6" s="4">
        <v>1200</v>
      </c>
      <c r="C6" s="4">
        <v>49.5</v>
      </c>
      <c r="D6" s="4">
        <v>1.262</v>
      </c>
      <c r="E6" s="4">
        <v>1.272</v>
      </c>
      <c r="F6" s="4">
        <v>1.2470000000000001</v>
      </c>
      <c r="G6" s="4">
        <v>2.52</v>
      </c>
    </row>
    <row r="7" spans="1:7" x14ac:dyDescent="0.2">
      <c r="A7" s="2">
        <v>1</v>
      </c>
      <c r="B7">
        <v>60</v>
      </c>
      <c r="C7">
        <v>57.6</v>
      </c>
      <c r="D7">
        <v>1.246</v>
      </c>
      <c r="E7">
        <v>1.256</v>
      </c>
      <c r="F7">
        <v>1.238</v>
      </c>
      <c r="G7">
        <v>2.5139999999999998</v>
      </c>
    </row>
    <row r="8" spans="1:7" x14ac:dyDescent="0.2">
      <c r="A8" s="2">
        <v>2</v>
      </c>
      <c r="B8">
        <v>120</v>
      </c>
      <c r="C8">
        <v>57.4</v>
      </c>
      <c r="D8">
        <v>1.2529999999999999</v>
      </c>
      <c r="E8">
        <v>1.262</v>
      </c>
      <c r="F8">
        <v>1.244</v>
      </c>
      <c r="G8">
        <v>2.5139999999999998</v>
      </c>
    </row>
    <row r="9" spans="1:7" x14ac:dyDescent="0.2">
      <c r="A9" s="2">
        <v>3</v>
      </c>
      <c r="B9">
        <v>360</v>
      </c>
      <c r="C9">
        <v>57.9</v>
      </c>
      <c r="D9">
        <v>1.2450000000000001</v>
      </c>
      <c r="E9">
        <v>1.254</v>
      </c>
      <c r="F9">
        <v>1.234</v>
      </c>
      <c r="G9">
        <v>2.5139999999999998</v>
      </c>
    </row>
    <row r="10" spans="1:7" x14ac:dyDescent="0.2">
      <c r="A10" s="2">
        <v>4</v>
      </c>
      <c r="B10">
        <v>720</v>
      </c>
      <c r="C10">
        <v>57.8</v>
      </c>
      <c r="D10">
        <v>1.2430000000000001</v>
      </c>
      <c r="E10">
        <v>1.2529999999999999</v>
      </c>
      <c r="F10">
        <v>1.2330000000000001</v>
      </c>
      <c r="G10">
        <v>2.5139999999999998</v>
      </c>
    </row>
    <row r="11" spans="1:7" x14ac:dyDescent="0.2">
      <c r="A11" s="3">
        <v>5</v>
      </c>
      <c r="B11" s="4">
        <v>1200</v>
      </c>
      <c r="C11" s="4">
        <v>41.9</v>
      </c>
      <c r="D11" s="4">
        <v>1.25</v>
      </c>
      <c r="E11" s="4">
        <v>1.26</v>
      </c>
      <c r="F11" s="4">
        <v>1.2430000000000001</v>
      </c>
      <c r="G11" s="4">
        <v>2.5139999999999998</v>
      </c>
    </row>
    <row r="12" spans="1:7" x14ac:dyDescent="0.2">
      <c r="A12" s="2">
        <v>1</v>
      </c>
      <c r="B12">
        <v>60</v>
      </c>
      <c r="C12">
        <v>77.3</v>
      </c>
      <c r="D12">
        <v>1.2589999999999999</v>
      </c>
      <c r="E12">
        <v>1.2709999999999999</v>
      </c>
      <c r="F12">
        <v>1.25</v>
      </c>
      <c r="G12">
        <v>2.5139999999999998</v>
      </c>
    </row>
    <row r="13" spans="1:7" x14ac:dyDescent="0.2">
      <c r="A13" s="2">
        <v>2</v>
      </c>
      <c r="B13">
        <v>120</v>
      </c>
      <c r="C13">
        <v>77.099999999999994</v>
      </c>
      <c r="D13">
        <v>1.27</v>
      </c>
      <c r="E13">
        <v>1.2809999999999999</v>
      </c>
      <c r="F13">
        <v>1.2589999999999999</v>
      </c>
      <c r="G13">
        <v>2.5139999999999998</v>
      </c>
    </row>
    <row r="14" spans="1:7" x14ac:dyDescent="0.2">
      <c r="A14" s="2">
        <v>3</v>
      </c>
      <c r="B14">
        <v>360</v>
      </c>
      <c r="C14">
        <v>77.099999999999994</v>
      </c>
      <c r="D14">
        <v>1.2709999999999999</v>
      </c>
      <c r="E14">
        <v>1.2829999999999999</v>
      </c>
      <c r="F14">
        <v>1.26</v>
      </c>
      <c r="G14">
        <v>2.5139999999999998</v>
      </c>
    </row>
    <row r="15" spans="1:7" x14ac:dyDescent="0.2">
      <c r="A15" s="2">
        <v>4</v>
      </c>
      <c r="B15">
        <v>720</v>
      </c>
      <c r="C15">
        <v>76.599999999999994</v>
      </c>
      <c r="D15">
        <v>1.252</v>
      </c>
      <c r="E15">
        <v>1.27</v>
      </c>
      <c r="F15">
        <v>1.2410000000000001</v>
      </c>
      <c r="G15">
        <v>2.5139999999999998</v>
      </c>
    </row>
    <row r="16" spans="1:7" x14ac:dyDescent="0.2">
      <c r="A16" s="3">
        <v>5</v>
      </c>
      <c r="B16" s="4">
        <v>1200</v>
      </c>
      <c r="C16" s="4">
        <v>34.799999999999997</v>
      </c>
      <c r="D16" s="4">
        <v>1.2789999999999999</v>
      </c>
      <c r="E16" s="4">
        <v>1.29</v>
      </c>
      <c r="F16" s="4">
        <v>1.2709999999999999</v>
      </c>
      <c r="G16" s="4">
        <v>2.5139999999999998</v>
      </c>
    </row>
    <row r="17" spans="1:7" x14ac:dyDescent="0.2">
      <c r="A17" s="2">
        <v>1</v>
      </c>
      <c r="B17">
        <v>60</v>
      </c>
      <c r="C17">
        <v>50</v>
      </c>
      <c r="D17">
        <v>1.254</v>
      </c>
      <c r="E17">
        <v>1.264</v>
      </c>
      <c r="F17">
        <v>1.248</v>
      </c>
      <c r="G17">
        <v>2.5139999999999998</v>
      </c>
    </row>
    <row r="18" spans="1:7" x14ac:dyDescent="0.2">
      <c r="A18" s="2">
        <v>2</v>
      </c>
      <c r="B18">
        <v>120</v>
      </c>
      <c r="C18">
        <v>50.1</v>
      </c>
      <c r="D18">
        <v>1.2729999999999999</v>
      </c>
      <c r="E18">
        <v>1.2809999999999999</v>
      </c>
      <c r="F18">
        <v>1.2629999999999999</v>
      </c>
      <c r="G18">
        <v>2.5139999999999998</v>
      </c>
    </row>
    <row r="19" spans="1:7" x14ac:dyDescent="0.2">
      <c r="A19" s="2">
        <v>3</v>
      </c>
      <c r="B19">
        <v>360</v>
      </c>
      <c r="C19">
        <v>50</v>
      </c>
      <c r="D19">
        <v>1.2729999999999999</v>
      </c>
      <c r="E19">
        <v>1.282</v>
      </c>
      <c r="F19">
        <v>1.2629999999999999</v>
      </c>
      <c r="G19">
        <v>2.5139999999999998</v>
      </c>
    </row>
    <row r="20" spans="1:7" x14ac:dyDescent="0.2">
      <c r="A20" s="2">
        <v>4</v>
      </c>
      <c r="B20">
        <v>720</v>
      </c>
      <c r="C20">
        <v>50</v>
      </c>
      <c r="D20">
        <v>1.2749999999999999</v>
      </c>
      <c r="E20">
        <v>1.286</v>
      </c>
      <c r="F20">
        <v>1.2669999999999999</v>
      </c>
      <c r="G20">
        <v>2.5139999999999998</v>
      </c>
    </row>
    <row r="21" spans="1:7" x14ac:dyDescent="0.2">
      <c r="A21" s="3">
        <v>5</v>
      </c>
      <c r="B21" s="4">
        <v>1200</v>
      </c>
      <c r="C21" s="4">
        <v>26.1</v>
      </c>
      <c r="D21" s="4">
        <v>1.2729999999999999</v>
      </c>
      <c r="E21" s="4">
        <v>1.28</v>
      </c>
      <c r="F21" s="4">
        <v>1.2669999999999999</v>
      </c>
      <c r="G21" s="4">
        <v>2.5139999999999998</v>
      </c>
    </row>
    <row r="22" spans="1:7" x14ac:dyDescent="0.2">
      <c r="A22" s="2">
        <v>1</v>
      </c>
      <c r="B22">
        <v>60</v>
      </c>
      <c r="C22">
        <v>30.5</v>
      </c>
      <c r="D22">
        <v>1.2509999999999999</v>
      </c>
      <c r="E22">
        <v>1.2569999999999999</v>
      </c>
      <c r="F22">
        <v>1.2450000000000001</v>
      </c>
      <c r="G22">
        <v>2.5139999999999998</v>
      </c>
    </row>
    <row r="23" spans="1:7" x14ac:dyDescent="0.2">
      <c r="A23" s="2">
        <v>2</v>
      </c>
      <c r="B23">
        <v>120</v>
      </c>
      <c r="C23">
        <v>30.3</v>
      </c>
      <c r="D23">
        <v>1.2589999999999999</v>
      </c>
      <c r="E23">
        <v>1.266</v>
      </c>
      <c r="F23">
        <v>1.2529999999999999</v>
      </c>
      <c r="G23">
        <v>2.5139999999999998</v>
      </c>
    </row>
    <row r="24" spans="1:7" x14ac:dyDescent="0.2">
      <c r="A24" s="2">
        <v>3</v>
      </c>
      <c r="B24">
        <v>360</v>
      </c>
      <c r="C24">
        <v>30</v>
      </c>
      <c r="D24">
        <v>1.2749999999999999</v>
      </c>
      <c r="E24">
        <v>1.2809999999999999</v>
      </c>
      <c r="F24">
        <v>1.27</v>
      </c>
      <c r="G24">
        <v>2.5139999999999998</v>
      </c>
    </row>
    <row r="25" spans="1:7" x14ac:dyDescent="0.2">
      <c r="A25" s="2">
        <v>4</v>
      </c>
      <c r="B25">
        <v>720</v>
      </c>
      <c r="C25">
        <v>30</v>
      </c>
      <c r="D25">
        <v>1.2649999999999999</v>
      </c>
      <c r="E25">
        <v>1.272</v>
      </c>
      <c r="F25">
        <v>1.26</v>
      </c>
      <c r="G25">
        <v>2.5139999999999998</v>
      </c>
    </row>
    <row r="26" spans="1:7" x14ac:dyDescent="0.2">
      <c r="A26" s="2">
        <v>5</v>
      </c>
      <c r="B26">
        <v>1200</v>
      </c>
      <c r="C26">
        <v>20</v>
      </c>
      <c r="D26">
        <v>1.2509999999999999</v>
      </c>
      <c r="E26">
        <v>1.2549999999999999</v>
      </c>
      <c r="F26">
        <v>1.244</v>
      </c>
      <c r="G26">
        <v>2.5139999999999998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87"/>
  <sheetViews>
    <sheetView tabSelected="1" workbookViewId="0">
      <selection activeCell="G41" sqref="G41"/>
    </sheetView>
  </sheetViews>
  <sheetFormatPr baseColWidth="10" defaultColWidth="8.83203125" defaultRowHeight="15" x14ac:dyDescent="0.2"/>
  <cols>
    <col min="1" max="1" width="32.1640625" bestFit="1" customWidth="1"/>
    <col min="2" max="2" width="9.33203125" bestFit="1" customWidth="1"/>
    <col min="4" max="4" width="11.6640625" bestFit="1" customWidth="1"/>
    <col min="5" max="5" width="31" bestFit="1" customWidth="1"/>
    <col min="6" max="6" width="14" bestFit="1" customWidth="1"/>
    <col min="7" max="7" width="30" bestFit="1" customWidth="1"/>
    <col min="8" max="8" width="14" bestFit="1" customWidth="1"/>
    <col min="9" max="9" width="30" bestFit="1" customWidth="1"/>
    <col min="10" max="10" width="29" bestFit="1" customWidth="1"/>
    <col min="11" max="11" width="19" bestFit="1" customWidth="1"/>
    <col min="12" max="12" width="18" bestFit="1" customWidth="1"/>
    <col min="13" max="13" width="17.6640625" bestFit="1" customWidth="1"/>
    <col min="14" max="14" width="20.1640625" bestFit="1" customWidth="1"/>
    <col min="15" max="15" width="18" bestFit="1" customWidth="1"/>
    <col min="16" max="16" width="17.6640625" bestFit="1" customWidth="1"/>
  </cols>
  <sheetData>
    <row r="1" spans="1:13" ht="14" customHeight="1" x14ac:dyDescent="0.2">
      <c r="A1" s="10" t="s">
        <v>32</v>
      </c>
      <c r="B1" s="4"/>
      <c r="C1" s="3" t="s">
        <v>15</v>
      </c>
      <c r="D1" s="4" t="s">
        <v>21</v>
      </c>
      <c r="E1" s="4" t="s">
        <v>22</v>
      </c>
      <c r="F1" s="9" t="s">
        <v>30</v>
      </c>
      <c r="G1" s="9" t="s">
        <v>23</v>
      </c>
      <c r="H1" s="9" t="s">
        <v>29</v>
      </c>
      <c r="I1" s="9" t="s">
        <v>37</v>
      </c>
      <c r="J1" s="9" t="s">
        <v>35</v>
      </c>
      <c r="K1" s="9" t="s">
        <v>34</v>
      </c>
      <c r="L1" s="9" t="s">
        <v>27</v>
      </c>
      <c r="M1" s="9" t="s">
        <v>28</v>
      </c>
    </row>
    <row r="2" spans="1:13" x14ac:dyDescent="0.2">
      <c r="A2" s="11"/>
      <c r="B2" t="s">
        <v>16</v>
      </c>
      <c r="C2" s="8">
        <v>1</v>
      </c>
      <c r="D2" s="6">
        <f>Metingen!E2-Metingen!F2</f>
        <v>1.6999999999999904E-2</v>
      </c>
      <c r="E2" s="6">
        <f>D2/2</f>
        <v>8.499999999999952E-3</v>
      </c>
      <c r="F2" s="6">
        <f>Metingen!D2</f>
        <v>1.2549999999999999</v>
      </c>
      <c r="G2" s="6">
        <f>E2/(2*F2)</f>
        <v>3.3864541832669135E-3</v>
      </c>
      <c r="H2" s="6">
        <f>G2/PI()*180</f>
        <v>0.19402953221561636</v>
      </c>
      <c r="I2">
        <f>Metingen!C2/$A$4</f>
        <v>1.0031298904538339</v>
      </c>
      <c r="J2">
        <f>$A$16*I2</f>
        <v>0.81142441849107527</v>
      </c>
      <c r="K2">
        <f>J2*10^(-3)</f>
        <v>8.1142441849107528E-4</v>
      </c>
      <c r="L2" s="6">
        <f>G2/(K2*$A$10)</f>
        <v>20.867342084456634</v>
      </c>
      <c r="M2" s="6">
        <f>L2/PI()*180</f>
        <v>1195.6106310950909</v>
      </c>
    </row>
    <row r="3" spans="1:13" x14ac:dyDescent="0.2">
      <c r="A3" s="2" t="s">
        <v>38</v>
      </c>
      <c r="C3" s="8">
        <v>2</v>
      </c>
      <c r="D3" s="6">
        <f>Metingen!E3-Metingen!F3</f>
        <v>2.0000000000000018E-2</v>
      </c>
      <c r="E3" s="6">
        <f t="shared" ref="E3:E26" si="0">D3/2</f>
        <v>1.0000000000000009E-2</v>
      </c>
      <c r="F3" s="6">
        <f>Metingen!D3</f>
        <v>1.256</v>
      </c>
      <c r="G3" s="6">
        <f>E3/(2*F3)</f>
        <v>3.9808917197452264E-3</v>
      </c>
      <c r="H3" s="6">
        <f t="shared" ref="H3:H26" si="1">G3/PI()*180</f>
        <v>0.22808829423997759</v>
      </c>
      <c r="I3">
        <f>Metingen!C3/$A$4</f>
        <v>1.0125195618153364</v>
      </c>
      <c r="J3">
        <f>$A$16*I3</f>
        <v>0.81901965485760642</v>
      </c>
      <c r="K3">
        <f t="shared" ref="K3:K26" si="2">J3*10^(-3)</f>
        <v>8.1901965485760644E-4</v>
      </c>
      <c r="L3" s="6">
        <f>G3/(K3*$A$10)</f>
        <v>24.302785019471468</v>
      </c>
      <c r="M3" s="6">
        <f t="shared" ref="M3:M26" si="3">L3/PI()*180</f>
        <v>1392.4470120294775</v>
      </c>
    </row>
    <row r="4" spans="1:13" x14ac:dyDescent="0.2">
      <c r="A4" s="2">
        <v>63.9</v>
      </c>
      <c r="C4" s="8">
        <v>3</v>
      </c>
      <c r="D4" s="6">
        <f>Metingen!E4-Metingen!F4</f>
        <v>2.0000000000000018E-2</v>
      </c>
      <c r="E4" s="6">
        <f t="shared" si="0"/>
        <v>1.0000000000000009E-2</v>
      </c>
      <c r="F4" s="6">
        <f>Metingen!D4</f>
        <v>1.25</v>
      </c>
      <c r="G4" s="6">
        <f>E4/(2*F4)</f>
        <v>4.0000000000000036E-3</v>
      </c>
      <c r="H4" s="6">
        <f t="shared" si="1"/>
        <v>0.22918311805232949</v>
      </c>
      <c r="I4">
        <f>Metingen!C4/$A$4</f>
        <v>1.0031298904538339</v>
      </c>
      <c r="J4">
        <f>$A$16*I4</f>
        <v>0.81142441849107527</v>
      </c>
      <c r="K4">
        <f t="shared" si="2"/>
        <v>8.1142441849107528E-4</v>
      </c>
      <c r="L4" s="6">
        <f>G4/(K4*$A$10)</f>
        <v>24.648013473875995</v>
      </c>
      <c r="M4" s="6">
        <f t="shared" si="3"/>
        <v>1412.2271454346812</v>
      </c>
    </row>
    <row r="5" spans="1:13" x14ac:dyDescent="0.2">
      <c r="A5" s="2"/>
      <c r="C5" s="8">
        <v>4</v>
      </c>
      <c r="D5" s="6">
        <f>Metingen!E5-Metingen!F5</f>
        <v>2.4999999999999911E-2</v>
      </c>
      <c r="E5" s="6">
        <f t="shared" si="0"/>
        <v>1.2499999999999956E-2</v>
      </c>
      <c r="F5" s="6">
        <f>Metingen!D5</f>
        <v>1.2669999999999999</v>
      </c>
      <c r="G5" s="6">
        <f>E5/(2*F5)</f>
        <v>4.9329123914759101E-3</v>
      </c>
      <c r="H5" s="6">
        <f t="shared" si="1"/>
        <v>0.28263506073935535</v>
      </c>
      <c r="I5">
        <f>Metingen!C5/$A$4</f>
        <v>1.0015649452269171</v>
      </c>
      <c r="J5">
        <f>$A$16*I5</f>
        <v>0.81015854576332025</v>
      </c>
      <c r="K5">
        <f t="shared" si="2"/>
        <v>8.1015854576332023E-4</v>
      </c>
      <c r="L5" s="6">
        <f>G5/(K5*$A$10)</f>
        <v>30.444117495719233</v>
      </c>
      <c r="M5" s="6">
        <f t="shared" si="3"/>
        <v>1744.3194435051012</v>
      </c>
    </row>
    <row r="6" spans="1:13" x14ac:dyDescent="0.2">
      <c r="A6" s="12" t="s">
        <v>24</v>
      </c>
      <c r="B6" s="14"/>
      <c r="C6" s="16">
        <v>5</v>
      </c>
      <c r="D6" s="15">
        <f>Metingen!E6-Metingen!F6</f>
        <v>2.4999999999999911E-2</v>
      </c>
      <c r="E6" s="15">
        <f t="shared" si="0"/>
        <v>1.2499999999999956E-2</v>
      </c>
      <c r="F6" s="15">
        <f>Metingen!D6</f>
        <v>1.262</v>
      </c>
      <c r="G6" s="15">
        <f>E6/(2*F6)</f>
        <v>4.9524564183835006E-3</v>
      </c>
      <c r="H6" s="15">
        <f t="shared" si="1"/>
        <v>0.28375485099585046</v>
      </c>
      <c r="I6" s="4">
        <f>Metingen!C6/$A$4</f>
        <v>0.77464788732394363</v>
      </c>
      <c r="J6" s="4">
        <f>$A$16*I6</f>
        <v>0.62660700023881788</v>
      </c>
      <c r="K6" s="4">
        <f t="shared" si="2"/>
        <v>6.2660700023881792E-4</v>
      </c>
      <c r="L6" s="15">
        <f>G6/(K6*$A$10)</f>
        <v>39.518042540986428</v>
      </c>
      <c r="M6" s="15">
        <f t="shared" si="3"/>
        <v>2264.2170522169658</v>
      </c>
    </row>
    <row r="7" spans="1:13" x14ac:dyDescent="0.2">
      <c r="A7" s="13">
        <v>200</v>
      </c>
      <c r="B7" t="s">
        <v>17</v>
      </c>
      <c r="C7" s="8">
        <v>1</v>
      </c>
      <c r="D7" s="6">
        <f>Metingen!E7-Metingen!F7</f>
        <v>1.8000000000000016E-2</v>
      </c>
      <c r="E7" s="6">
        <f t="shared" si="0"/>
        <v>9.000000000000008E-3</v>
      </c>
      <c r="F7" s="6">
        <f>Metingen!D7</f>
        <v>1.246</v>
      </c>
      <c r="G7" s="6">
        <f>E7/(2*F7)</f>
        <v>3.6115569823435023E-3</v>
      </c>
      <c r="H7" s="6">
        <f t="shared" si="1"/>
        <v>0.20692697255928624</v>
      </c>
      <c r="I7">
        <f>Metingen!C7/$A$4</f>
        <v>0.90140845070422537</v>
      </c>
      <c r="J7">
        <f>$A$16*I7</f>
        <v>0.72914269118698816</v>
      </c>
      <c r="K7">
        <f t="shared" si="2"/>
        <v>7.2914269118698818E-4</v>
      </c>
      <c r="L7" s="6">
        <f>G7/(K7*$A$10)</f>
        <v>24.765776479663849</v>
      </c>
      <c r="M7" s="6">
        <f t="shared" si="3"/>
        <v>1418.9744686491001</v>
      </c>
    </row>
    <row r="8" spans="1:13" x14ac:dyDescent="0.2">
      <c r="A8" s="11"/>
      <c r="C8" s="8">
        <v>2</v>
      </c>
      <c r="D8" s="6">
        <f>Metingen!E8-Metingen!F8</f>
        <v>1.8000000000000016E-2</v>
      </c>
      <c r="E8" s="6">
        <f t="shared" si="0"/>
        <v>9.000000000000008E-3</v>
      </c>
      <c r="F8" s="6">
        <f>Metingen!D8</f>
        <v>1.2529999999999999</v>
      </c>
      <c r="G8" s="6">
        <f>E8/(2*F8)</f>
        <v>3.5913806863527571E-3</v>
      </c>
      <c r="H8" s="6">
        <f t="shared" si="1"/>
        <v>0.20577095595280984</v>
      </c>
      <c r="I8">
        <f>Metingen!C8/$A$4</f>
        <v>0.89827856025039121</v>
      </c>
      <c r="J8">
        <f>$A$16*I8</f>
        <v>0.72661094573147778</v>
      </c>
      <c r="K8">
        <f t="shared" si="2"/>
        <v>7.2661094573147776E-4</v>
      </c>
      <c r="L8" s="6">
        <f>G8/(K8*$A$10)</f>
        <v>24.713230012915105</v>
      </c>
      <c r="M8" s="6">
        <f t="shared" si="3"/>
        <v>1415.9637778760725</v>
      </c>
    </row>
    <row r="9" spans="1:13" x14ac:dyDescent="0.2">
      <c r="A9" s="12" t="s">
        <v>36</v>
      </c>
      <c r="C9" s="8">
        <v>3</v>
      </c>
      <c r="D9" s="6">
        <f>Metingen!E9-Metingen!F9</f>
        <v>2.0000000000000018E-2</v>
      </c>
      <c r="E9" s="6">
        <f t="shared" si="0"/>
        <v>1.0000000000000009E-2</v>
      </c>
      <c r="F9" s="6">
        <f>Metingen!D9</f>
        <v>1.2450000000000001</v>
      </c>
      <c r="G9" s="6">
        <f>E9/(2*F9)</f>
        <v>4.0160642570281156E-3</v>
      </c>
      <c r="H9" s="6">
        <f t="shared" si="1"/>
        <v>0.23010353218105367</v>
      </c>
      <c r="I9">
        <f>Metingen!C9/$A$4</f>
        <v>0.9061032863849765</v>
      </c>
      <c r="J9">
        <f>$A$16*I9</f>
        <v>0.73294030937025367</v>
      </c>
      <c r="K9">
        <f t="shared" si="2"/>
        <v>7.3294030937025366E-4</v>
      </c>
      <c r="L9" s="6">
        <f>G9/(K9*$A$10)</f>
        <v>27.396939462087573</v>
      </c>
      <c r="M9" s="6">
        <f t="shared" si="3"/>
        <v>1569.7290027530339</v>
      </c>
    </row>
    <row r="10" spans="1:13" x14ac:dyDescent="0.2">
      <c r="A10" s="13">
        <v>0.2</v>
      </c>
      <c r="C10" s="8">
        <v>4</v>
      </c>
      <c r="D10" s="6">
        <f>Metingen!E10-Metingen!F10</f>
        <v>1.9999999999999796E-2</v>
      </c>
      <c r="E10" s="6">
        <f t="shared" si="0"/>
        <v>9.9999999999998979E-3</v>
      </c>
      <c r="F10" s="6">
        <f>Metingen!D10</f>
        <v>1.2430000000000001</v>
      </c>
      <c r="G10" s="6">
        <f>E10/(2*F10)</f>
        <v>4.0225261464199103E-3</v>
      </c>
      <c r="H10" s="6">
        <f t="shared" si="1"/>
        <v>0.23047377117088388</v>
      </c>
      <c r="I10">
        <f>Metingen!C10/$A$4</f>
        <v>0.90453834115805942</v>
      </c>
      <c r="J10">
        <f>$A$16*I10</f>
        <v>0.73167443664249854</v>
      </c>
      <c r="K10">
        <f t="shared" si="2"/>
        <v>7.316744366424985E-4</v>
      </c>
      <c r="L10" s="6">
        <f>G10/(K10*$A$10)</f>
        <v>27.48849723982735</v>
      </c>
      <c r="M10" s="6">
        <f t="shared" si="3"/>
        <v>1574.9748769991197</v>
      </c>
    </row>
    <row r="11" spans="1:13" x14ac:dyDescent="0.2">
      <c r="A11" s="2"/>
      <c r="B11" s="14"/>
      <c r="C11" s="16">
        <v>5</v>
      </c>
      <c r="D11" s="15">
        <f>Metingen!E11-Metingen!F11</f>
        <v>1.6999999999999904E-2</v>
      </c>
      <c r="E11" s="15">
        <f t="shared" si="0"/>
        <v>8.499999999999952E-3</v>
      </c>
      <c r="F11" s="15">
        <f>Metingen!D11</f>
        <v>1.25</v>
      </c>
      <c r="G11" s="15">
        <f>E11/(2*F11)</f>
        <v>3.3999999999999807E-3</v>
      </c>
      <c r="H11" s="15">
        <f t="shared" si="1"/>
        <v>0.1948056503444788</v>
      </c>
      <c r="I11" s="4">
        <f>Metingen!C11/$A$4</f>
        <v>0.65571205007824729</v>
      </c>
      <c r="J11" s="4">
        <f>$A$16*I11</f>
        <v>0.53040067292942372</v>
      </c>
      <c r="K11" s="4">
        <f t="shared" si="2"/>
        <v>5.3040067292942376E-4</v>
      </c>
      <c r="L11" s="15">
        <f>G11/(K11*$A$10)</f>
        <v>32.051241387210609</v>
      </c>
      <c r="M11" s="15">
        <f t="shared" si="3"/>
        <v>1836.4008596421979</v>
      </c>
    </row>
    <row r="12" spans="1:13" x14ac:dyDescent="0.2">
      <c r="A12" s="12" t="s">
        <v>25</v>
      </c>
      <c r="B12" t="s">
        <v>18</v>
      </c>
      <c r="C12" s="8">
        <v>1</v>
      </c>
      <c r="D12" s="6">
        <f>Metingen!E12-Metingen!F12</f>
        <v>2.0999999999999908E-2</v>
      </c>
      <c r="E12" s="6">
        <f t="shared" si="0"/>
        <v>1.0499999999999954E-2</v>
      </c>
      <c r="F12" s="6">
        <f>Metingen!D12</f>
        <v>1.2589999999999999</v>
      </c>
      <c r="G12" s="6">
        <f>E12/(2*F12)</f>
        <v>4.1699761715647161E-3</v>
      </c>
      <c r="H12" s="6">
        <f t="shared" si="1"/>
        <v>0.23892203530077913</v>
      </c>
      <c r="I12">
        <f>Metingen!C12/$A$4</f>
        <v>1.2097026604068857</v>
      </c>
      <c r="J12">
        <f>$A$16*I12</f>
        <v>0.97851961855476011</v>
      </c>
      <c r="K12">
        <f t="shared" si="2"/>
        <v>9.7851961855476011E-4</v>
      </c>
      <c r="L12" s="6">
        <f>G12/(K12*$A$10)</f>
        <v>21.307575711786075</v>
      </c>
      <c r="M12" s="6">
        <f t="shared" si="3"/>
        <v>1220.8341599408031</v>
      </c>
    </row>
    <row r="13" spans="1:13" x14ac:dyDescent="0.2">
      <c r="A13" s="13">
        <v>1</v>
      </c>
      <c r="C13" s="8">
        <v>2</v>
      </c>
      <c r="D13" s="6">
        <f>Metingen!E13-Metingen!F13</f>
        <v>2.200000000000002E-2</v>
      </c>
      <c r="E13" s="6">
        <f t="shared" si="0"/>
        <v>1.100000000000001E-2</v>
      </c>
      <c r="F13" s="6">
        <f>Metingen!D13</f>
        <v>1.27</v>
      </c>
      <c r="G13" s="6">
        <f>E13/(2*F13)</f>
        <v>4.3307086614173262E-3</v>
      </c>
      <c r="H13" s="6">
        <f t="shared" si="1"/>
        <v>0.24813132859996301</v>
      </c>
      <c r="I13">
        <f>Metingen!C13/$A$4</f>
        <v>1.2065727699530515</v>
      </c>
      <c r="J13">
        <f>$A$16*I13</f>
        <v>0.97598787309924973</v>
      </c>
      <c r="K13">
        <f t="shared" si="2"/>
        <v>9.7598787309924979E-4</v>
      </c>
      <c r="L13" s="6">
        <f>G13/(K13*$A$10)</f>
        <v>22.18628315362751</v>
      </c>
      <c r="M13" s="6">
        <f t="shared" si="3"/>
        <v>1271.1803877850546</v>
      </c>
    </row>
    <row r="14" spans="1:13" x14ac:dyDescent="0.2">
      <c r="A14" s="11"/>
      <c r="C14" s="8">
        <v>3</v>
      </c>
      <c r="D14" s="6">
        <f>Metingen!E14-Metingen!F14</f>
        <v>2.2999999999999909E-2</v>
      </c>
      <c r="E14" s="6">
        <f t="shared" si="0"/>
        <v>1.1499999999999955E-2</v>
      </c>
      <c r="F14" s="6">
        <f>Metingen!D14</f>
        <v>1.2709999999999999</v>
      </c>
      <c r="G14" s="6">
        <f>E14/(2*F14)</f>
        <v>4.5239968528717374E-3</v>
      </c>
      <c r="H14" s="6">
        <f t="shared" si="1"/>
        <v>0.25920592620001742</v>
      </c>
      <c r="I14">
        <f>Metingen!C14/$A$4</f>
        <v>1.2065727699530515</v>
      </c>
      <c r="J14">
        <f>$A$16*I14</f>
        <v>0.97598787309924973</v>
      </c>
      <c r="K14">
        <f t="shared" si="2"/>
        <v>9.7598787309924979E-4</v>
      </c>
      <c r="L14" s="6">
        <f>G14/(K14*$A$10)</f>
        <v>23.17650135603521</v>
      </c>
      <c r="M14" s="6">
        <f t="shared" si="3"/>
        <v>1327.9157115800467</v>
      </c>
    </row>
    <row r="15" spans="1:13" x14ac:dyDescent="0.2">
      <c r="A15" s="12" t="s">
        <v>31</v>
      </c>
      <c r="C15" s="8">
        <v>4</v>
      </c>
      <c r="D15" s="6">
        <f>Metingen!E15-Metingen!F15</f>
        <v>2.8999999999999915E-2</v>
      </c>
      <c r="E15" s="6">
        <f t="shared" si="0"/>
        <v>1.4499999999999957E-2</v>
      </c>
      <c r="F15" s="6">
        <f>Metingen!D15</f>
        <v>1.252</v>
      </c>
      <c r="G15" s="6">
        <f>E15/(2*F15)</f>
        <v>5.7907348242811334E-3</v>
      </c>
      <c r="H15" s="6">
        <f t="shared" si="1"/>
        <v>0.33178466571073933</v>
      </c>
      <c r="I15">
        <f>Metingen!C15/$A$4</f>
        <v>1.1987480438184663</v>
      </c>
      <c r="J15">
        <f>$A$16*I15</f>
        <v>0.96965850946047383</v>
      </c>
      <c r="K15">
        <f t="shared" si="2"/>
        <v>9.6965850946047389E-4</v>
      </c>
      <c r="L15" s="6">
        <f>G15/(K15*$A$10)</f>
        <v>29.859660735113572</v>
      </c>
      <c r="M15" s="6">
        <f t="shared" si="3"/>
        <v>1710.8325378145087</v>
      </c>
    </row>
    <row r="16" spans="1:13" x14ac:dyDescent="0.2">
      <c r="A16" s="13">
        <f>(A19/$A$7)*10^(3)</f>
        <v>0.808892673035565</v>
      </c>
      <c r="B16" s="14"/>
      <c r="C16" s="16">
        <v>5</v>
      </c>
      <c r="D16" s="15">
        <f>Metingen!E16-Metingen!F16</f>
        <v>1.9000000000000128E-2</v>
      </c>
      <c r="E16" s="15">
        <f t="shared" si="0"/>
        <v>9.5000000000000639E-3</v>
      </c>
      <c r="F16" s="15">
        <f>Metingen!D16</f>
        <v>1.2789999999999999</v>
      </c>
      <c r="G16" s="15">
        <f>E16/(2*F16)</f>
        <v>3.7138389366692982E-3</v>
      </c>
      <c r="H16" s="15">
        <f t="shared" si="1"/>
        <v>0.21278729686250419</v>
      </c>
      <c r="I16" s="4">
        <f>Metingen!C16/$A$4</f>
        <v>0.54460093896713613</v>
      </c>
      <c r="J16" s="4">
        <f>$A$16*I16</f>
        <v>0.44052370925880535</v>
      </c>
      <c r="K16" s="4">
        <f t="shared" si="2"/>
        <v>4.4052370925880534E-4</v>
      </c>
      <c r="L16" s="15">
        <f>G16/(K16*$A$10)</f>
        <v>42.152543195892292</v>
      </c>
      <c r="M16" s="15">
        <f t="shared" si="3"/>
        <v>2415.1628208675234</v>
      </c>
    </row>
    <row r="17" spans="1:17" x14ac:dyDescent="0.2">
      <c r="A17" s="11"/>
      <c r="B17" t="s">
        <v>19</v>
      </c>
      <c r="C17" s="8">
        <v>1</v>
      </c>
      <c r="D17" s="6">
        <f>Metingen!E17-Metingen!F17</f>
        <v>1.6000000000000014E-2</v>
      </c>
      <c r="E17" s="6">
        <f t="shared" si="0"/>
        <v>8.0000000000000071E-3</v>
      </c>
      <c r="F17" s="6">
        <f>Metingen!D17</f>
        <v>1.254</v>
      </c>
      <c r="G17" s="6">
        <f>E17/(2*F17)</f>
        <v>3.1897926634768766E-3</v>
      </c>
      <c r="H17" s="6">
        <f t="shared" si="1"/>
        <v>0.18276165713901871</v>
      </c>
      <c r="I17">
        <f>Metingen!C17/$A$4</f>
        <v>0.78247261345852892</v>
      </c>
      <c r="J17">
        <f>$A$16*I17</f>
        <v>0.63293636387759389</v>
      </c>
      <c r="K17">
        <f t="shared" si="2"/>
        <v>6.3293636387759392E-4</v>
      </c>
      <c r="L17" s="6">
        <f>G17/(K17*$A$10)</f>
        <v>25.198367841713733</v>
      </c>
      <c r="M17" s="6">
        <f t="shared" si="3"/>
        <v>1443.7601279483742</v>
      </c>
    </row>
    <row r="18" spans="1:17" x14ac:dyDescent="0.2">
      <c r="A18" s="12" t="s">
        <v>33</v>
      </c>
      <c r="C18" s="8">
        <v>2</v>
      </c>
      <c r="D18" s="6">
        <f>Metingen!E18-Metingen!F18</f>
        <v>1.8000000000000016E-2</v>
      </c>
      <c r="E18" s="6">
        <f t="shared" si="0"/>
        <v>9.000000000000008E-3</v>
      </c>
      <c r="F18" s="6">
        <f>Metingen!D18</f>
        <v>1.2729999999999999</v>
      </c>
      <c r="G18" s="6">
        <f>E18/(2*F18)</f>
        <v>3.5349567949725094E-3</v>
      </c>
      <c r="H18" s="6">
        <f t="shared" si="1"/>
        <v>0.20253810511301706</v>
      </c>
      <c r="I18">
        <f>Metingen!C18/$A$4</f>
        <v>0.784037558685446</v>
      </c>
      <c r="J18">
        <f>$A$16*I18</f>
        <v>0.63420223660534913</v>
      </c>
      <c r="K18">
        <f t="shared" si="2"/>
        <v>6.3420223660534919E-4</v>
      </c>
      <c r="L18" s="6">
        <f>G18/(K18*$A$10)</f>
        <v>27.869318262687234</v>
      </c>
      <c r="M18" s="6">
        <f t="shared" si="3"/>
        <v>1596.7943143588461</v>
      </c>
    </row>
    <row r="19" spans="1:17" x14ac:dyDescent="0.2">
      <c r="A19" s="13">
        <v>0.161778534607113</v>
      </c>
      <c r="C19" s="8">
        <v>3</v>
      </c>
      <c r="D19" s="6">
        <f>Metingen!E19-Metingen!F19</f>
        <v>1.9000000000000128E-2</v>
      </c>
      <c r="E19" s="6">
        <f t="shared" si="0"/>
        <v>9.5000000000000639E-3</v>
      </c>
      <c r="F19" s="6">
        <f>Metingen!D19</f>
        <v>1.2729999999999999</v>
      </c>
      <c r="G19" s="6">
        <f>E19/(2*F19)</f>
        <v>3.7313432835821151E-3</v>
      </c>
      <c r="H19" s="6">
        <f t="shared" si="1"/>
        <v>0.21379022206374149</v>
      </c>
      <c r="I19">
        <f>Metingen!C19/$A$4</f>
        <v>0.78247261345852892</v>
      </c>
      <c r="J19">
        <f>$A$16*I19</f>
        <v>0.63293636387759389</v>
      </c>
      <c r="K19">
        <f t="shared" si="2"/>
        <v>6.3293636387759392E-4</v>
      </c>
      <c r="L19" s="6">
        <f>G19/(K19*$A$10)</f>
        <v>29.47644894916904</v>
      </c>
      <c r="M19" s="6">
        <f t="shared" si="3"/>
        <v>1688.8761198202164</v>
      </c>
    </row>
    <row r="20" spans="1:17" x14ac:dyDescent="0.2">
      <c r="A20" s="11"/>
      <c r="C20" s="8">
        <v>4</v>
      </c>
      <c r="D20" s="6">
        <f>Metingen!E20-Metingen!F20</f>
        <v>1.9000000000000128E-2</v>
      </c>
      <c r="E20" s="6">
        <f>D20/2</f>
        <v>9.5000000000000639E-3</v>
      </c>
      <c r="F20" s="6">
        <f>Metingen!D20</f>
        <v>1.2749999999999999</v>
      </c>
      <c r="G20" s="6">
        <f>E20/(2*F20)</f>
        <v>3.7254901960784566E-3</v>
      </c>
      <c r="H20" s="6">
        <f t="shared" si="1"/>
        <v>0.21345486485266107</v>
      </c>
      <c r="I20">
        <f>Metingen!C20/$A$4</f>
        <v>0.78247261345852892</v>
      </c>
      <c r="J20">
        <f>$A$16*I20</f>
        <v>0.63293636387759389</v>
      </c>
      <c r="K20">
        <f t="shared" si="2"/>
        <v>6.3293636387759392E-4</v>
      </c>
      <c r="L20" s="6">
        <f>G20/(K20*$A$10)</f>
        <v>29.430211382189949</v>
      </c>
      <c r="M20" s="6">
        <f t="shared" si="3"/>
        <v>1686.2269023773611</v>
      </c>
    </row>
    <row r="21" spans="1:17" x14ac:dyDescent="0.2">
      <c r="A21" s="7" t="s">
        <v>26</v>
      </c>
      <c r="B21" s="14"/>
      <c r="C21" s="16">
        <v>5</v>
      </c>
      <c r="D21" s="15">
        <f>Metingen!E21-Metingen!F21</f>
        <v>1.3000000000000123E-2</v>
      </c>
      <c r="E21" s="15">
        <f t="shared" si="0"/>
        <v>6.5000000000000613E-3</v>
      </c>
      <c r="F21" s="15">
        <f>Metingen!D21</f>
        <v>1.2729999999999999</v>
      </c>
      <c r="G21" s="15">
        <f>E21/(2*F21)</f>
        <v>2.5530243519246119E-3</v>
      </c>
      <c r="H21" s="15">
        <f t="shared" si="1"/>
        <v>0.14627752035940245</v>
      </c>
      <c r="I21" s="4">
        <f>Metingen!C21/$A$4</f>
        <v>0.40845070422535212</v>
      </c>
      <c r="J21" s="4">
        <f>$A$16*I21</f>
        <v>0.33039278194410404</v>
      </c>
      <c r="K21" s="4">
        <f t="shared" si="2"/>
        <v>3.3039278194410408E-4</v>
      </c>
      <c r="L21" s="15">
        <f>G21/(K21*$A$10)</f>
        <v>38.636200477838123</v>
      </c>
      <c r="M21" s="15">
        <f t="shared" si="3"/>
        <v>2213.6912238014593</v>
      </c>
    </row>
    <row r="22" spans="1:17" x14ac:dyDescent="0.2">
      <c r="A22" s="13">
        <f>$A$19*(10^(-3))</f>
        <v>1.6177853460711301E-4</v>
      </c>
      <c r="B22" t="s">
        <v>20</v>
      </c>
      <c r="C22" s="8">
        <v>1</v>
      </c>
      <c r="D22" s="6">
        <f>Metingen!E22-Metingen!F22</f>
        <v>1.1999999999999789E-2</v>
      </c>
      <c r="E22" s="6">
        <f t="shared" si="0"/>
        <v>5.9999999999998943E-3</v>
      </c>
      <c r="F22" s="6">
        <f>Metingen!D22</f>
        <v>1.2509999999999999</v>
      </c>
      <c r="G22" s="6">
        <f>E22/(2*F22)</f>
        <v>2.39808153477214E-3</v>
      </c>
      <c r="H22" s="6">
        <f t="shared" si="1"/>
        <v>0.13739995087069859</v>
      </c>
      <c r="I22">
        <f>Metingen!C22/$A$4</f>
        <v>0.47730829420970267</v>
      </c>
      <c r="J22">
        <f>$A$16*I22</f>
        <v>0.38609118196533226</v>
      </c>
      <c r="K22">
        <f t="shared" si="2"/>
        <v>3.8609118196533226E-4</v>
      </c>
      <c r="L22" s="6">
        <f>G22/(K22*$A$10)</f>
        <v>31.055896207796156</v>
      </c>
      <c r="M22" s="6">
        <f t="shared" si="3"/>
        <v>1779.3717817030579</v>
      </c>
    </row>
    <row r="23" spans="1:17" x14ac:dyDescent="0.2">
      <c r="A23" s="11"/>
      <c r="C23" s="8">
        <v>2</v>
      </c>
      <c r="D23" s="6">
        <f>Metingen!E23-Metingen!F23</f>
        <v>1.3000000000000123E-2</v>
      </c>
      <c r="E23" s="6">
        <f t="shared" si="0"/>
        <v>6.5000000000000613E-3</v>
      </c>
      <c r="F23" s="6">
        <f>Metingen!D23</f>
        <v>1.2589999999999999</v>
      </c>
      <c r="G23" s="6">
        <f>E23/(2*F23)</f>
        <v>2.5814138204924789E-3</v>
      </c>
      <c r="H23" s="6">
        <f t="shared" si="1"/>
        <v>0.14790411709096055</v>
      </c>
      <c r="I23">
        <f>Metingen!C23/$A$4</f>
        <v>0.47417840375586856</v>
      </c>
      <c r="J23">
        <f>$A$16*I23</f>
        <v>0.38355943650982194</v>
      </c>
      <c r="K23">
        <f t="shared" si="2"/>
        <v>3.8355943650982195E-4</v>
      </c>
      <c r="L23" s="6">
        <f>G23/(K23*$A$10)</f>
        <v>33.650766671026425</v>
      </c>
      <c r="M23" s="6">
        <f t="shared" si="3"/>
        <v>1928.0469076293093</v>
      </c>
    </row>
    <row r="24" spans="1:17" x14ac:dyDescent="0.2">
      <c r="A24" s="11" t="s">
        <v>39</v>
      </c>
      <c r="C24" s="8">
        <v>3</v>
      </c>
      <c r="D24" s="6">
        <f>Metingen!E24-Metingen!F24</f>
        <v>1.0999999999999899E-2</v>
      </c>
      <c r="E24" s="6">
        <f t="shared" si="0"/>
        <v>5.4999999999999494E-3</v>
      </c>
      <c r="F24" s="6">
        <f>Metingen!D24</f>
        <v>1.2749999999999999</v>
      </c>
      <c r="G24" s="6">
        <f>E24/(2*F24)</f>
        <v>2.1568627450980196E-3</v>
      </c>
      <c r="H24" s="6">
        <f t="shared" si="1"/>
        <v>0.12357913228311762</v>
      </c>
      <c r="I24">
        <f>Metingen!C24/$A$4</f>
        <v>0.46948356807511737</v>
      </c>
      <c r="J24">
        <f>$A$16*I24</f>
        <v>0.37976181832655637</v>
      </c>
      <c r="K24">
        <f t="shared" si="2"/>
        <v>3.7976181832655636E-4</v>
      </c>
      <c r="L24" s="6">
        <f>G24/(K24*$A$10)</f>
        <v>28.39757238632318</v>
      </c>
      <c r="M24" s="6">
        <f t="shared" si="3"/>
        <v>1627.0610461535678</v>
      </c>
    </row>
    <row r="25" spans="1:17" x14ac:dyDescent="0.2">
      <c r="A25" s="11">
        <v>635</v>
      </c>
      <c r="C25" s="8">
        <v>4</v>
      </c>
      <c r="D25" s="6">
        <f>Metingen!E25-Metingen!F25</f>
        <v>1.2000000000000011E-2</v>
      </c>
      <c r="E25" s="6">
        <f t="shared" si="0"/>
        <v>6.0000000000000053E-3</v>
      </c>
      <c r="F25" s="6">
        <f>Metingen!D25</f>
        <v>1.2649999999999999</v>
      </c>
      <c r="G25" s="6">
        <f>E25/(2*F25)</f>
        <v>2.3715415019762869E-3</v>
      </c>
      <c r="H25" s="6">
        <f t="shared" si="1"/>
        <v>0.13587931900335742</v>
      </c>
      <c r="I25">
        <f>Metingen!C25/$A$4</f>
        <v>0.46948356807511737</v>
      </c>
      <c r="J25">
        <f>$A$16*I25</f>
        <v>0.37976181832655637</v>
      </c>
      <c r="K25">
        <f t="shared" si="2"/>
        <v>3.7976181832655636E-4</v>
      </c>
      <c r="L25" s="6">
        <f>G25/(K25*$A$10)</f>
        <v>31.224064499514842</v>
      </c>
      <c r="M25" s="6">
        <f t="shared" si="3"/>
        <v>1789.0071150664635</v>
      </c>
    </row>
    <row r="26" spans="1:17" x14ac:dyDescent="0.2">
      <c r="A26" s="11"/>
      <c r="C26" s="8">
        <v>5</v>
      </c>
      <c r="D26" s="6">
        <f>Metingen!E26-Metingen!F26</f>
        <v>1.0999999999999899E-2</v>
      </c>
      <c r="E26" s="6">
        <f t="shared" si="0"/>
        <v>5.4999999999999494E-3</v>
      </c>
      <c r="F26" s="6">
        <f>Metingen!D26</f>
        <v>1.2509999999999999</v>
      </c>
      <c r="G26" s="6">
        <f>E26/(2*F26)</f>
        <v>2.1982414068744804E-3</v>
      </c>
      <c r="H26" s="6">
        <f t="shared" si="1"/>
        <v>0.12594995496480813</v>
      </c>
      <c r="I26">
        <f>Metingen!C26/$A$4</f>
        <v>0.3129890453834116</v>
      </c>
      <c r="J26">
        <f>$A$16*I26</f>
        <v>0.25317454555103758</v>
      </c>
      <c r="K26">
        <f t="shared" si="2"/>
        <v>2.5317454555103756E-4</v>
      </c>
      <c r="L26" s="6">
        <f>G26/(K26*$A$10)</f>
        <v>43.41355490714875</v>
      </c>
      <c r="M26" s="6">
        <f t="shared" si="3"/>
        <v>2487.4134698390881</v>
      </c>
    </row>
    <row r="27" spans="1:17" x14ac:dyDescent="0.2">
      <c r="A27" s="18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5"/>
    </row>
    <row r="28" spans="1:17" x14ac:dyDescent="0.2">
      <c r="A28" s="18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5"/>
    </row>
    <row r="29" spans="1:17" x14ac:dyDescent="0.2">
      <c r="A29" s="18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5"/>
    </row>
    <row r="30" spans="1:17" x14ac:dyDescent="0.2">
      <c r="A30" s="18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5"/>
    </row>
    <row r="31" spans="1:17" x14ac:dyDescent="0.2">
      <c r="A31" s="18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5"/>
    </row>
    <row r="32" spans="1:17" x14ac:dyDescent="0.2">
      <c r="A32" s="18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spans="1:16" x14ac:dyDescent="0.2">
      <c r="A33" s="17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spans="1:16" x14ac:dyDescent="0.2">
      <c r="A34" s="17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x14ac:dyDescent="0.2">
      <c r="A35" s="17"/>
    </row>
    <row r="36" spans="1:16" x14ac:dyDescent="0.2">
      <c r="A36" s="17"/>
    </row>
    <row r="37" spans="1:16" x14ac:dyDescent="0.2">
      <c r="A37" s="17"/>
    </row>
    <row r="38" spans="1:16" x14ac:dyDescent="0.2">
      <c r="A38" s="17"/>
    </row>
    <row r="39" spans="1:16" x14ac:dyDescent="0.2">
      <c r="A39" s="17"/>
    </row>
    <row r="40" spans="1:16" x14ac:dyDescent="0.2">
      <c r="A40" s="17"/>
    </row>
    <row r="41" spans="1:16" x14ac:dyDescent="0.2">
      <c r="A41" s="17"/>
    </row>
    <row r="42" spans="1:16" x14ac:dyDescent="0.2">
      <c r="A42" s="17"/>
    </row>
    <row r="43" spans="1:16" x14ac:dyDescent="0.2">
      <c r="A43" s="17"/>
    </row>
    <row r="44" spans="1:16" x14ac:dyDescent="0.2">
      <c r="A44" s="17"/>
    </row>
    <row r="45" spans="1:16" x14ac:dyDescent="0.2">
      <c r="A45" s="17"/>
    </row>
    <row r="46" spans="1:16" x14ac:dyDescent="0.2">
      <c r="A46" s="17"/>
    </row>
    <row r="47" spans="1:16" x14ac:dyDescent="0.2">
      <c r="A47" s="17"/>
    </row>
    <row r="48" spans="1:16" x14ac:dyDescent="0.2">
      <c r="A48" s="17"/>
    </row>
    <row r="49" spans="1:1" x14ac:dyDescent="0.2">
      <c r="A49" s="17"/>
    </row>
    <row r="50" spans="1:1" x14ac:dyDescent="0.2">
      <c r="A50" s="17"/>
    </row>
    <row r="51" spans="1:1" x14ac:dyDescent="0.2">
      <c r="A51" s="17"/>
    </row>
    <row r="52" spans="1:1" x14ac:dyDescent="0.2">
      <c r="A52" s="17"/>
    </row>
    <row r="53" spans="1:1" x14ac:dyDescent="0.2">
      <c r="A53" s="17"/>
    </row>
    <row r="54" spans="1:1" x14ac:dyDescent="0.2">
      <c r="A54" s="17"/>
    </row>
    <row r="55" spans="1:1" x14ac:dyDescent="0.2">
      <c r="A55" s="17"/>
    </row>
    <row r="56" spans="1:1" x14ac:dyDescent="0.2">
      <c r="A56" s="17"/>
    </row>
    <row r="57" spans="1:1" x14ac:dyDescent="0.2">
      <c r="A57" s="17"/>
    </row>
    <row r="58" spans="1:1" x14ac:dyDescent="0.2">
      <c r="A58" s="17"/>
    </row>
    <row r="59" spans="1:1" x14ac:dyDescent="0.2">
      <c r="A59" s="17"/>
    </row>
    <row r="60" spans="1:1" x14ac:dyDescent="0.2">
      <c r="A60" s="17"/>
    </row>
    <row r="61" spans="1:1" x14ac:dyDescent="0.2">
      <c r="A61" s="17"/>
    </row>
    <row r="62" spans="1:1" x14ac:dyDescent="0.2">
      <c r="A62" s="17"/>
    </row>
    <row r="63" spans="1:1" x14ac:dyDescent="0.2">
      <c r="A63" s="17"/>
    </row>
    <row r="64" spans="1:1" x14ac:dyDescent="0.2">
      <c r="A64" s="17"/>
    </row>
    <row r="65" spans="1:1" x14ac:dyDescent="0.2">
      <c r="A65" s="17"/>
    </row>
    <row r="66" spans="1:1" x14ac:dyDescent="0.2">
      <c r="A66" s="17"/>
    </row>
    <row r="67" spans="1:1" x14ac:dyDescent="0.2">
      <c r="A67" s="17"/>
    </row>
    <row r="68" spans="1:1" x14ac:dyDescent="0.2">
      <c r="A68" s="17"/>
    </row>
    <row r="69" spans="1:1" x14ac:dyDescent="0.2">
      <c r="A69" s="17"/>
    </row>
    <row r="70" spans="1:1" x14ac:dyDescent="0.2">
      <c r="A70" s="17"/>
    </row>
    <row r="71" spans="1:1" x14ac:dyDescent="0.2">
      <c r="A71" s="17"/>
    </row>
    <row r="72" spans="1:1" x14ac:dyDescent="0.2">
      <c r="A72" s="17"/>
    </row>
    <row r="73" spans="1:1" x14ac:dyDescent="0.2">
      <c r="A73" s="17"/>
    </row>
    <row r="74" spans="1:1" x14ac:dyDescent="0.2">
      <c r="A74" s="17"/>
    </row>
    <row r="75" spans="1:1" x14ac:dyDescent="0.2">
      <c r="A75" s="17"/>
    </row>
    <row r="76" spans="1:1" x14ac:dyDescent="0.2">
      <c r="A76" s="17"/>
    </row>
    <row r="77" spans="1:1" x14ac:dyDescent="0.2">
      <c r="A77" s="17"/>
    </row>
    <row r="78" spans="1:1" x14ac:dyDescent="0.2">
      <c r="A78" s="17"/>
    </row>
    <row r="79" spans="1:1" x14ac:dyDescent="0.2">
      <c r="A79" s="17"/>
    </row>
    <row r="80" spans="1:1" x14ac:dyDescent="0.2">
      <c r="A80" s="17"/>
    </row>
    <row r="81" spans="1:1" x14ac:dyDescent="0.2">
      <c r="A81" s="17"/>
    </row>
    <row r="82" spans="1:1" x14ac:dyDescent="0.2">
      <c r="A82" s="17"/>
    </row>
    <row r="83" spans="1:1" x14ac:dyDescent="0.2">
      <c r="A83" s="17"/>
    </row>
    <row r="84" spans="1:1" x14ac:dyDescent="0.2">
      <c r="A84" s="17"/>
    </row>
    <row r="85" spans="1:1" x14ac:dyDescent="0.2">
      <c r="A85" s="17"/>
    </row>
    <row r="86" spans="1:1" x14ac:dyDescent="0.2">
      <c r="A86" s="17"/>
    </row>
    <row r="87" spans="1:1" x14ac:dyDescent="0.2">
      <c r="A87" s="17"/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Kalibratie</vt:lpstr>
      <vt:lpstr>Metingen</vt:lpstr>
      <vt:lpstr>Verwerking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Tristan Cools</cp:lastModifiedBy>
  <dcterms:created xsi:type="dcterms:W3CDTF">2026-03-16T22:23:51Z</dcterms:created>
  <dcterms:modified xsi:type="dcterms:W3CDTF">2026-03-24T17:48:24Z</dcterms:modified>
</cp:coreProperties>
</file>